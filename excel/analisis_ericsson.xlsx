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ProjectEricssonEvolutionPatent\excel\"/>
    </mc:Choice>
  </mc:AlternateContent>
  <xr:revisionPtr revIDLastSave="0" documentId="13_ncr:1_{1D0E467B-2BC5-41A2-ABB2-BDA539D76772}" xr6:coauthVersionLast="47" xr6:coauthVersionMax="47" xr10:uidLastSave="{00000000-0000-0000-0000-000000000000}"/>
  <bookViews>
    <workbookView xWindow="-120" yWindow="-120" windowWidth="20730" windowHeight="11160" xr2:uid="{01633AC4-521E-4D71-940F-2CFDDE09F9B7}"/>
  </bookViews>
  <sheets>
    <sheet name="Promedio de keyword_score por e" sheetId="5" r:id="rId1"/>
    <sheet name="quarterly_level_clean" sheetId="2" r:id="rId2"/>
    <sheet name="Suma de Patentes" sheetId="4" r:id="rId3"/>
  </sheets>
  <definedNames>
    <definedName name="DatosExternos_1" localSheetId="1" hidden="1">quarterly_level_clean!$A$1:$AE$200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35454B-B62A-4868-97EF-D9D6641A32E6}" keepAlive="1" name="Consulta - quarterly_level_clean" description="Conexión a la consulta 'quarterly_level_clean' en el libro." type="5" refreshedVersion="8" background="1" saveData="1">
    <dbPr connection="Provider=Microsoft.Mashup.OleDb.1;Data Source=$Workbook$;Location=quarterly_level_clean;Extended Properties=&quot;&quot;" command="SELECT * FROM [quarterly_level_clean]"/>
  </connection>
</connections>
</file>

<file path=xl/sharedStrings.xml><?xml version="1.0" encoding="utf-8"?>
<sst xmlns="http://schemas.openxmlformats.org/spreadsheetml/2006/main" count="445" uniqueCount="90">
  <si>
    <t>day_of_week</t>
  </si>
  <si>
    <t>quarter_end</t>
  </si>
  <si>
    <t>tech_era</t>
  </si>
  <si>
    <t>patent_count</t>
  </si>
  <si>
    <t>patent_unique</t>
  </si>
  <si>
    <t>utility_share</t>
  </si>
  <si>
    <t>design_share</t>
  </si>
  <si>
    <t>avg_title_words</t>
  </si>
  <si>
    <t>avg_keyword_score</t>
  </si>
  <si>
    <t>kw_5g_count</t>
  </si>
  <si>
    <t>kw_ai_ml_count</t>
  </si>
  <si>
    <t>kw_cloud_edge_count</t>
  </si>
  <si>
    <t>kw_security_count</t>
  </si>
  <si>
    <t>kw_iot_count</t>
  </si>
  <si>
    <t>kw_network_count</t>
  </si>
  <si>
    <t>kw_energy_count</t>
  </si>
  <si>
    <t>kw_antenna_count</t>
  </si>
  <si>
    <t>kw_data_count</t>
  </si>
  <si>
    <t>patent_count_lag1</t>
  </si>
  <si>
    <t>patent_count_lag2</t>
  </si>
  <si>
    <t>patent_count_lag4</t>
  </si>
  <si>
    <t>patent_count_roll4_mean</t>
  </si>
  <si>
    <t>patent_count_roll8_mean</t>
  </si>
  <si>
    <t>patent_count_qoq</t>
  </si>
  <si>
    <t>patent_count_yoy</t>
  </si>
  <si>
    <t>target_patent_count_current</t>
  </si>
  <si>
    <t>target_patent_count_next_quarter</t>
  </si>
  <si>
    <t>years_since_first_patent</t>
  </si>
  <si>
    <t>year_patent_count</t>
  </si>
  <si>
    <t>year</t>
  </si>
  <si>
    <t>quarter</t>
  </si>
  <si>
    <t>legacy_pre_1990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</si>
  <si>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</si>
  <si>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</si>
  <si>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</si>
  <si>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</si>
  <si>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</si>
  <si>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</si>
  <si>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</si>
  <si>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</si>
  <si>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</si>
  <si>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</si>
  <si>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</si>
  <si>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</si>
  <si>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</si>
  <si>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</si>
  <si>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legacy_1990s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</si>
  <si>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</si>
  <si>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</si>
  <si>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</si>
  <si>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</si>
  <si>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</si>
  <si>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</si>
  <si>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</si>
  <si>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</si>
  <si>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</si>
  <si>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</si>
  <si>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mobile_2000s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</si>
  <si>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</si>
  <si>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</si>
  <si>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</si>
  <si>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</si>
  <si>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</si>
  <si>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</si>
  <si>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</si>
  <si>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</si>
  <si>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</si>
  <si>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</si>
  <si>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smartphone_2010s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</si>
  <si>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</si>
  <si>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</si>
  <si>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</si>
  <si>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</si>
  <si>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</si>
  <si>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</si>
  <si>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</si>
  <si>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</si>
  <si>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</si>
  <si>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</si>
  <si>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modern_2020s</t>
  </si>
  <si>
    <t>2020</t>
  </si>
  <si>
    <t>2021</t>
  </si>
  <si>
    <t>2022</t>
  </si>
  <si>
    <t>2023</t>
  </si>
  <si>
    <t>2024</t>
  </si>
  <si>
    <t>2025</t>
  </si>
  <si>
    <t>Total general</t>
  </si>
  <si>
    <t>Eras</t>
  </si>
  <si>
    <t>Promedio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</si>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</sst>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[analisis_ericsson.xlsx]Promedio de keyword_score por e!TablaDinámica3</c:name>
    <c:fmtId val="7"/>
  </c:pivotSource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'Promedio de keyword_score por e'!$B$3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'Promedio de keyword_score por e'!$A$4:$A$9</c:f>
              <c:strCache>
                <c:ptCount val="5"/>
                <c:pt idx="0">
                  <c:v>legacy_1990s</c:v>
                </c:pt>
                <c:pt idx="1">
                  <c:v>legacy_pre_1990</c:v>
                </c:pt>
                <c:pt idx="2">
                  <c:v>mobile_2000s</c:v>
                </c:pt>
                <c:pt idx="3">
                  <c:v>modern_2020s</c:v>
                </c:pt>
                <c:pt idx="4">
                  <c:v>smartphone_2010s</c:v>
                </c:pt>
              </c:strCache>
            </c:strRef>
          </c:cat>
          <c:val>
            <c:numRef>
              <c:f>'Promedio de keyword_score por e'!$B$4:$B$9</c:f>
              <c:numCache>
                <c:formatCode>General</c:formatCode>
                <c:ptCount val="5"/>
                <c:pt idx="0">
                  <c:v>0.53077729164698861</c:v>
                </c:pt>
                <c:pt idx="1">
                  <c:v>0.42107602219209356</c:v>
                </c:pt>
                <c:pt idx="2">
                  <c:v>0.52529004241792121</c:v>
                </c:pt>
                <c:pt idx="3">
                  <c:v>0.66745429146480095</c:v>
                </c:pt>
                <c:pt idx="4">
                  <c:v>0.58308598019578661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B-4D99-BE5F-CDEA6607E0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165994936"/>
        <c:axId val="1165995992"/>
      </c:barChart>
      <c:catAx>
        <c:axId val="1165994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5995992"/>
        <c:crosses val="autoZero"/>
        <c:auto val="1"/>
        <c:lblAlgn val="ctr"/>
        <c:lblOffset val="100"/>
        <c:noMultiLvlLbl val="0"/>
      </c:catAx>
      <c:valAx>
        <c:axId val="1165995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599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[analisis_ericsson.xlsx]Suma de Patentes!TablaDinámica2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cap="none" baseline="0"/>
              <a:t>Total de patentes por era tecnológica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'Suma de Patentes'!$B$3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'Suma de Patentes'!$A$4:$A$9</c:f>
              <c:strCache>
                <c:ptCount val="5"/>
                <c:pt idx="0">
                  <c:v>legacy_1990s</c:v>
                </c:pt>
                <c:pt idx="1">
                  <c:v>legacy_pre_1990</c:v>
                </c:pt>
                <c:pt idx="2">
                  <c:v>mobile_2000s</c:v>
                </c:pt>
                <c:pt idx="3">
                  <c:v>modern_2020s</c:v>
                </c:pt>
                <c:pt idx="4">
                  <c:v>smartphone_2010s</c:v>
                </c:pt>
              </c:strCache>
            </c:strRef>
          </c:cat>
          <c:val>
            <c:numRef>
              <c:f>'Suma de Patentes'!$B$4:$B$9</c:f>
              <c:numCache>
                <c:formatCode>General</c:formatCode>
                <c:ptCount val="5"/>
                <c:pt idx="0">
                  <c:v>1954</c:v>
                </c:pt>
                <c:pt idx="1">
                  <c:v>436</c:v>
                </c:pt>
                <c:pt idx="2">
                  <c:v>5740</c:v>
                </c:pt>
                <c:pt idx="3">
                  <c:v>8147</c:v>
                </c:pt>
                <c:pt idx="4">
                  <c:v>13841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B-4F45-9C21-7F2DC1277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93104496"/>
        <c:axId val="593102736"/>
      </c:barChart>
      <c:catAx>
        <c:axId val="593104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3102736"/>
        <c:crosses val="autoZero"/>
        <c:auto val="1"/>
        <c:lblAlgn val="ctr"/>
        <c:lblOffset val="100"/>
        <c:noMultiLvlLbl val="0"/>
      </c:catAx>
      <c:valAx>
        <c:axId val="593102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310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23811</xdr:colOff>
      <xdr:row>1</xdr:row>
      <xdr:rowOff>185736</xdr:rowOff>
    </xdr:from>
    <xdr:to>
      <xdr:col>11</xdr:col>
      <xdr:colOff>142874</xdr:colOff>
      <xdr:row>17</xdr:row>
      <xdr:rowOff>133349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7CDFBD-4B0D-CA76-3B66-F55DEC109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</xdr:row>
      <xdr:rowOff>109537</xdr:rowOff>
    </xdr:from>
    <xdr:to>
      <xdr:col>10</xdr:col>
      <xdr:colOff>323850</xdr:colOff>
      <xdr:row>17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A96F41-472A-0E66-C376-017ACA33E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88.955388888891" createdVersion="8" refreshedVersion="8" minRefreshableVersion="3" recordCount="199" xr:uid="{35281C37-2A57-4D24-A7C2-B10EEE6F1DC7}">
  <cacheSource type="worksheet">
    <worksheetSource name="quarterly_level_clean"/>
  </cacheSource>
  <cacheFields count="31">
    <cacheField name="day_of_week" numFmtId="0">
      <sharedItems containsSemiMixedTypes="0" containsString="0" containsNumber="1" containsInteger="1" minValue="1" maxValue="1"/>
    </cacheField>
    <cacheField name="quarter_end" numFmtId="14">
      <sharedItems containsSemiMixedTypes="0" containsNonDate="0" containsDate="1" containsString="0" minDate="1976-03-31T00:00:00" maxDate="2025-10-01T00:00:00"/>
    </cacheField>
    <cacheField name="tech_era" numFmtId="0">
      <sharedItems count="5">
        <s v="legacy_pre_1990"/>
        <s v="legacy_1990s"/>
        <s v="mobile_2000s"/>
        <s v="smartphone_2010s"/>
        <s v="modern_2020s"/>
      </sharedItems>
    </cacheField>
    <cacheField name="patent_count" numFmtId="0">
      <sharedItems containsSemiMixedTypes="0" containsString="0" containsNumber="1" containsInteger="1" minValue="1" maxValue="525"/>
    </cacheField>
    <cacheField name="patent_unique" numFmtId="0">
      <sharedItems containsSemiMixedTypes="0" containsString="0" containsNumber="1" containsInteger="1" minValue="1" maxValue="525"/>
    </cacheField>
    <cacheField name="utility_share" numFmtId="0">
      <sharedItems containsSemiMixedTypes="0" containsString="0" containsNumber="1" minValue="0.4" maxValue="1"/>
    </cacheField>
    <cacheField name="design_share" numFmtId="0">
      <sharedItems containsSemiMixedTypes="0" containsString="0" containsNumber="1" minValue="0" maxValue="0.6"/>
    </cacheField>
    <cacheField name="avg_title_words" numFmtId="0">
      <sharedItems containsSemiMixedTypes="0" containsString="0" containsNumber="1" minValue="3" maxValue="14.166666666666666"/>
    </cacheField>
    <cacheField name="avg_keyword_score" numFmtId="0">
      <sharedItems containsSemiMixedTypes="0" containsString="0" containsNumber="1" minValue="0" maxValue="1.3333333333333333"/>
    </cacheField>
    <cacheField name="kw_5g_count" numFmtId="0">
      <sharedItems containsSemiMixedTypes="0" containsString="0" containsNumber="1" containsInteger="1" minValue="0" maxValue="16"/>
    </cacheField>
    <cacheField name="kw_ai_ml_count" numFmtId="0">
      <sharedItems containsSemiMixedTypes="0" containsString="0" containsNumber="1" containsInteger="1" minValue="0" maxValue="10"/>
    </cacheField>
    <cacheField name="kw_cloud_edge_count" numFmtId="0">
      <sharedItems containsSemiMixedTypes="0" containsString="0" containsNumber="1" containsInteger="1" minValue="0" maxValue="14"/>
    </cacheField>
    <cacheField name="kw_security_count" numFmtId="0">
      <sharedItems containsSemiMixedTypes="0" containsString="0" containsNumber="1" containsInteger="1" minValue="0" maxValue="12"/>
    </cacheField>
    <cacheField name="kw_iot_count" numFmtId="0">
      <sharedItems containsSemiMixedTypes="0" containsString="0" containsNumber="1" containsInteger="1" minValue="0" maxValue="6"/>
    </cacheField>
    <cacheField name="kw_network_count" numFmtId="0">
      <sharedItems containsSemiMixedTypes="0" containsString="0" containsNumber="1" containsInteger="1" minValue="0" maxValue="231"/>
    </cacheField>
    <cacheField name="kw_energy_count" numFmtId="0">
      <sharedItems containsSemiMixedTypes="0" containsString="0" containsNumber="1" containsInteger="1" minValue="0" maxValue="33"/>
    </cacheField>
    <cacheField name="kw_antenna_count" numFmtId="0">
      <sharedItems containsSemiMixedTypes="0" containsString="0" containsNumber="1" containsInteger="1" minValue="0" maxValue="24"/>
    </cacheField>
    <cacheField name="kw_data_count" numFmtId="0">
      <sharedItems containsSemiMixedTypes="0" containsString="0" containsNumber="1" containsInteger="1" minValue="0" maxValue="35"/>
    </cacheField>
    <cacheField name="patent_count_lag1" numFmtId="0">
      <sharedItems containsSemiMixedTypes="0" containsString="0" containsNumber="1" containsInteger="1" minValue="1" maxValue="525"/>
    </cacheField>
    <cacheField name="patent_count_lag2" numFmtId="0">
      <sharedItems containsSemiMixedTypes="0" containsString="0" containsNumber="1" containsInteger="1" minValue="1" maxValue="525"/>
    </cacheField>
    <cacheField name="patent_count_lag4" numFmtId="0">
      <sharedItems containsSemiMixedTypes="0" containsString="0" containsNumber="1" containsInteger="1" minValue="1" maxValue="525"/>
    </cacheField>
    <cacheField name="patent_count_roll4_mean" numFmtId="0">
      <sharedItems containsSemiMixedTypes="0" containsString="0" containsNumber="1" minValue="2.5" maxValue="443.5"/>
    </cacheField>
    <cacheField name="patent_count_roll8_mean" numFmtId="0">
      <sharedItems containsSemiMixedTypes="0" containsString="0" containsNumber="1" minValue="3" maxValue="422.375"/>
    </cacheField>
    <cacheField name="patent_count_qoq" numFmtId="0">
      <sharedItems containsSemiMixedTypes="0" containsString="0" containsNumber="1" minValue="-0.8" maxValue="3"/>
    </cacheField>
    <cacheField name="patent_count_yoy" numFmtId="0">
      <sharedItems containsSemiMixedTypes="0" containsString="0" containsNumber="1" minValue="-0.75" maxValue="4"/>
    </cacheField>
    <cacheField name="target_patent_count_current" numFmtId="0">
      <sharedItems containsSemiMixedTypes="0" containsString="0" containsNumber="1" containsInteger="1" minValue="1" maxValue="525"/>
    </cacheField>
    <cacheField name="target_patent_count_next_quarter" numFmtId="0">
      <sharedItems containsString="0" containsBlank="1" containsNumber="1" containsInteger="1" minValue="1" maxValue="525"/>
    </cacheField>
    <cacheField name="years_since_first_patent" numFmtId="0">
      <sharedItems containsSemiMixedTypes="0" containsString="0" containsNumber="1" containsInteger="1" minValue="0" maxValue="49"/>
    </cacheField>
    <cacheField name="year_patent_count" numFmtId="0">
      <sharedItems containsSemiMixedTypes="0" containsString="0" containsNumber="1" containsInteger="1" minValue="12" maxValue="1705"/>
    </cacheField>
    <cacheField name="year" numFmtId="0">
      <sharedItems/>
    </cacheField>
    <cacheField name="quarter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"/>
    <d v="1976-03-31T00:00:00"/>
    <x v="0"/>
    <n v="10"/>
    <n v="10"/>
    <n v="1"/>
    <n v="0"/>
    <n v="9"/>
    <n v="0.9"/>
    <n v="0"/>
    <n v="0"/>
    <n v="0"/>
    <n v="0"/>
    <n v="0"/>
    <n v="6"/>
    <n v="0"/>
    <n v="0"/>
    <n v="3"/>
    <n v="334"/>
    <n v="331"/>
    <n v="324"/>
    <n v="347.75"/>
    <n v="337.375"/>
    <n v="2.3872679045092899E-2"/>
    <n v="7.4324324324324301E-2"/>
    <n v="10"/>
    <n v="5"/>
    <n v="0"/>
    <n v="36"/>
    <s v="1976"/>
    <n v="1"/>
  </r>
  <r>
    <n v="1"/>
    <d v="1976-06-30T00:00:00"/>
    <x v="0"/>
    <n v="5"/>
    <n v="5"/>
    <n v="1"/>
    <n v="0"/>
    <n v="8.6"/>
    <n v="0.8"/>
    <n v="0"/>
    <n v="0"/>
    <n v="0"/>
    <n v="0"/>
    <n v="0"/>
    <n v="2"/>
    <n v="0"/>
    <n v="0"/>
    <n v="2"/>
    <n v="10"/>
    <n v="331"/>
    <n v="324"/>
    <n v="347.75"/>
    <n v="337.375"/>
    <n v="-0.5"/>
    <n v="7.4324324324324301E-2"/>
    <n v="5"/>
    <n v="11"/>
    <n v="0"/>
    <n v="36"/>
    <s v="1976"/>
    <n v="2"/>
  </r>
  <r>
    <n v="1"/>
    <d v="1976-09-30T00:00:00"/>
    <x v="0"/>
    <n v="11"/>
    <n v="11"/>
    <n v="1"/>
    <n v="0"/>
    <n v="8.2727272727272734"/>
    <n v="0.36363636363636359"/>
    <n v="0"/>
    <n v="0"/>
    <n v="0"/>
    <n v="0"/>
    <n v="0"/>
    <n v="2"/>
    <n v="1"/>
    <n v="0"/>
    <n v="1"/>
    <n v="5"/>
    <n v="10"/>
    <n v="324"/>
    <n v="347.75"/>
    <n v="337.375"/>
    <n v="1.2000000000000002"/>
    <n v="7.4324324324324301E-2"/>
    <n v="11"/>
    <n v="10"/>
    <n v="0"/>
    <n v="36"/>
    <s v="1976"/>
    <n v="3"/>
  </r>
  <r>
    <n v="1"/>
    <d v="1976-12-31T00:00:00"/>
    <x v="0"/>
    <n v="10"/>
    <n v="10"/>
    <n v="1"/>
    <n v="0"/>
    <n v="9.5"/>
    <n v="0.3"/>
    <n v="0"/>
    <n v="0"/>
    <n v="0"/>
    <n v="0"/>
    <n v="0"/>
    <n v="2"/>
    <n v="1"/>
    <n v="0"/>
    <n v="0"/>
    <n v="11"/>
    <n v="5"/>
    <n v="324"/>
    <n v="9"/>
    <n v="337.375"/>
    <n v="-9.0909090909090898E-2"/>
    <n v="7.4324324324324301E-2"/>
    <n v="10"/>
    <n v="10"/>
    <n v="0"/>
    <n v="36"/>
    <s v="1976"/>
    <n v="4"/>
  </r>
  <r>
    <n v="1"/>
    <d v="1977-03-31T00:00:00"/>
    <x v="0"/>
    <n v="10"/>
    <n v="10"/>
    <n v="0.9"/>
    <n v="0.1"/>
    <n v="5.2"/>
    <n v="0.1"/>
    <n v="0"/>
    <n v="0"/>
    <n v="0"/>
    <n v="0"/>
    <n v="0"/>
    <n v="0"/>
    <n v="0"/>
    <n v="1"/>
    <n v="0"/>
    <n v="10"/>
    <n v="11"/>
    <n v="10"/>
    <n v="9"/>
    <n v="337.375"/>
    <n v="0"/>
    <n v="0"/>
    <n v="10"/>
    <n v="9"/>
    <n v="1"/>
    <n v="42"/>
    <s v="1977"/>
    <n v="1"/>
  </r>
  <r>
    <n v="1"/>
    <d v="1977-06-30T00:00:00"/>
    <x v="0"/>
    <n v="9"/>
    <n v="9"/>
    <n v="0.88888888888888884"/>
    <n v="0.1111111111111111"/>
    <n v="6.333333333333333"/>
    <n v="0.33333333333333331"/>
    <n v="0"/>
    <n v="0"/>
    <n v="0"/>
    <n v="0"/>
    <n v="0"/>
    <n v="2"/>
    <n v="1"/>
    <n v="0"/>
    <n v="0"/>
    <n v="10"/>
    <n v="10"/>
    <n v="5"/>
    <n v="10"/>
    <n v="337.375"/>
    <n v="-9.9999999999999895E-2"/>
    <n v="0.8"/>
    <n v="9"/>
    <n v="12"/>
    <n v="1"/>
    <n v="42"/>
    <s v="1977"/>
    <n v="2"/>
  </r>
  <r>
    <n v="1"/>
    <d v="1977-09-30T00:00:00"/>
    <x v="0"/>
    <n v="12"/>
    <n v="12"/>
    <n v="0.91666666666666663"/>
    <n v="8.3333333333333301E-2"/>
    <n v="6.083333333333333"/>
    <n v="0.1666666666666666"/>
    <n v="0"/>
    <n v="0"/>
    <n v="0"/>
    <n v="0"/>
    <n v="0"/>
    <n v="1"/>
    <n v="0"/>
    <n v="0"/>
    <n v="1"/>
    <n v="9"/>
    <n v="10"/>
    <n v="11"/>
    <n v="10.25"/>
    <n v="337.375"/>
    <n v="0.3333333333333332"/>
    <n v="9.0909090909090801E-2"/>
    <n v="12"/>
    <n v="11"/>
    <n v="1"/>
    <n v="42"/>
    <s v="1977"/>
    <n v="3"/>
  </r>
  <r>
    <n v="1"/>
    <d v="1977-12-31T00:00:00"/>
    <x v="0"/>
    <n v="11"/>
    <n v="11"/>
    <n v="0.90909090909090917"/>
    <n v="9.0909090909090898E-2"/>
    <n v="9.2727272727272716"/>
    <n v="0.45454545454545447"/>
    <n v="0"/>
    <n v="0"/>
    <n v="0"/>
    <n v="1"/>
    <n v="0"/>
    <n v="3"/>
    <n v="0"/>
    <n v="0"/>
    <n v="1"/>
    <n v="12"/>
    <n v="9"/>
    <n v="10"/>
    <n v="10.5"/>
    <n v="9.75"/>
    <n v="-8.3333333333333301E-2"/>
    <n v="0.1"/>
    <n v="11"/>
    <n v="16"/>
    <n v="1"/>
    <n v="42"/>
    <s v="1977"/>
    <n v="4"/>
  </r>
  <r>
    <n v="1"/>
    <d v="1978-03-31T00:00:00"/>
    <x v="0"/>
    <n v="16"/>
    <n v="16"/>
    <n v="1"/>
    <n v="0"/>
    <n v="11.1875"/>
    <n v="0.5625"/>
    <n v="0"/>
    <n v="0"/>
    <n v="0"/>
    <n v="0"/>
    <n v="0"/>
    <n v="5"/>
    <n v="0"/>
    <n v="0"/>
    <n v="4"/>
    <n v="11"/>
    <n v="12"/>
    <n v="10"/>
    <n v="12"/>
    <n v="10.5"/>
    <n v="0.45454545454545459"/>
    <n v="0.60000000000000009"/>
    <n v="16"/>
    <n v="8"/>
    <n v="2"/>
    <n v="45"/>
    <s v="1978"/>
    <n v="1"/>
  </r>
  <r>
    <n v="1"/>
    <d v="1978-06-30T00:00:00"/>
    <x v="0"/>
    <n v="8"/>
    <n v="8"/>
    <n v="1"/>
    <n v="0"/>
    <n v="9.5"/>
    <n v="0.375"/>
    <n v="0"/>
    <n v="0"/>
    <n v="0"/>
    <n v="0"/>
    <n v="0"/>
    <n v="2"/>
    <n v="0"/>
    <n v="0"/>
    <n v="1"/>
    <n v="16"/>
    <n v="11"/>
    <n v="9"/>
    <n v="11.75"/>
    <n v="10.875"/>
    <n v="-0.5"/>
    <n v="-0.1111111111111111"/>
    <n v="8"/>
    <n v="11"/>
    <n v="2"/>
    <n v="45"/>
    <s v="1978"/>
    <n v="2"/>
  </r>
  <r>
    <n v="1"/>
    <d v="1978-09-30T00:00:00"/>
    <x v="0"/>
    <n v="11"/>
    <n v="11"/>
    <n v="0.81818181818181823"/>
    <n v="0.1818181818181818"/>
    <n v="9.0909090909090917"/>
    <n v="0.36363636363636359"/>
    <n v="0"/>
    <n v="0"/>
    <n v="0"/>
    <n v="0"/>
    <n v="0"/>
    <n v="3"/>
    <n v="1"/>
    <n v="0"/>
    <n v="0"/>
    <n v="8"/>
    <n v="16"/>
    <n v="12"/>
    <n v="11.5"/>
    <n v="10.875"/>
    <n v="0.375"/>
    <n v="-8.3333333333333301E-2"/>
    <n v="11"/>
    <n v="10"/>
    <n v="2"/>
    <n v="45"/>
    <s v="1978"/>
    <n v="3"/>
  </r>
  <r>
    <n v="1"/>
    <d v="1978-12-31T00:00:00"/>
    <x v="0"/>
    <n v="10"/>
    <n v="10"/>
    <n v="0.8"/>
    <n v="0.2"/>
    <n v="5.5"/>
    <n v="0.1"/>
    <n v="0"/>
    <n v="0"/>
    <n v="0"/>
    <n v="0"/>
    <n v="0"/>
    <n v="0"/>
    <n v="0"/>
    <n v="0"/>
    <n v="1"/>
    <n v="11"/>
    <n v="8"/>
    <n v="11"/>
    <n v="11.25"/>
    <n v="10.875"/>
    <n v="-9.0909090909090898E-2"/>
    <n v="-9.0909090909090898E-2"/>
    <n v="10"/>
    <n v="8"/>
    <n v="2"/>
    <n v="45"/>
    <s v="1978"/>
    <n v="4"/>
  </r>
  <r>
    <n v="1"/>
    <d v="1979-03-31T00:00:00"/>
    <x v="0"/>
    <n v="8"/>
    <n v="8"/>
    <n v="0.75"/>
    <n v="0.25"/>
    <n v="5.75"/>
    <n v="0.5"/>
    <n v="0"/>
    <n v="0"/>
    <n v="0"/>
    <n v="0"/>
    <n v="0"/>
    <n v="3"/>
    <n v="0"/>
    <n v="0"/>
    <n v="1"/>
    <n v="10"/>
    <n v="11"/>
    <n v="16"/>
    <n v="9.25"/>
    <n v="10.625"/>
    <n v="-0.1999999999999999"/>
    <n v="-0.5"/>
    <n v="8"/>
    <n v="10"/>
    <n v="3"/>
    <n v="28"/>
    <s v="1979"/>
    <n v="1"/>
  </r>
  <r>
    <n v="1"/>
    <d v="1979-06-30T00:00:00"/>
    <x v="0"/>
    <n v="10"/>
    <n v="10"/>
    <n v="0.9"/>
    <n v="0.1"/>
    <n v="8.9"/>
    <n v="0.4"/>
    <n v="0"/>
    <n v="0"/>
    <n v="0"/>
    <n v="0"/>
    <n v="0"/>
    <n v="3"/>
    <n v="0"/>
    <n v="1"/>
    <n v="0"/>
    <n v="8"/>
    <n v="10"/>
    <n v="8"/>
    <n v="9.75"/>
    <n v="10.75"/>
    <n v="0.25"/>
    <n v="0.25"/>
    <n v="10"/>
    <n v="6"/>
    <n v="3"/>
    <n v="28"/>
    <s v="1979"/>
    <n v="2"/>
  </r>
  <r>
    <n v="1"/>
    <d v="1979-09-30T00:00:00"/>
    <x v="0"/>
    <n v="6"/>
    <n v="6"/>
    <n v="1"/>
    <n v="0"/>
    <n v="12.666666666666666"/>
    <n v="0.1666666666666666"/>
    <n v="0"/>
    <n v="0"/>
    <n v="0"/>
    <n v="0"/>
    <n v="0"/>
    <n v="0"/>
    <n v="0"/>
    <n v="0"/>
    <n v="1"/>
    <n v="10"/>
    <n v="8"/>
    <n v="11"/>
    <n v="8.5"/>
    <n v="10"/>
    <n v="-0.4"/>
    <n v="-0.45454545454545459"/>
    <n v="6"/>
    <n v="4"/>
    <n v="3"/>
    <n v="28"/>
    <s v="1979"/>
    <n v="3"/>
  </r>
  <r>
    <n v="1"/>
    <d v="1979-12-31T00:00:00"/>
    <x v="0"/>
    <n v="4"/>
    <n v="4"/>
    <n v="0.75"/>
    <n v="0.25"/>
    <n v="10.25"/>
    <n v="0.25"/>
    <n v="0"/>
    <n v="0"/>
    <n v="0"/>
    <n v="0"/>
    <n v="0"/>
    <n v="0"/>
    <n v="0"/>
    <n v="0"/>
    <n v="1"/>
    <n v="6"/>
    <n v="10"/>
    <n v="10"/>
    <n v="7"/>
    <n v="9.125"/>
    <n v="-0.33333333333333331"/>
    <n v="-0.6"/>
    <n v="4"/>
    <n v="4"/>
    <n v="3"/>
    <n v="28"/>
    <s v="1979"/>
    <n v="4"/>
  </r>
  <r>
    <n v="1"/>
    <d v="1980-03-31T00:00:00"/>
    <x v="0"/>
    <n v="4"/>
    <n v="4"/>
    <n v="0.75"/>
    <n v="0.25"/>
    <n v="6.25"/>
    <n v="0.5"/>
    <n v="0"/>
    <n v="0"/>
    <n v="0"/>
    <n v="0"/>
    <n v="0"/>
    <n v="2"/>
    <n v="0"/>
    <n v="0"/>
    <n v="0"/>
    <n v="4"/>
    <n v="6"/>
    <n v="8"/>
    <n v="6"/>
    <n v="7.625"/>
    <n v="0"/>
    <n v="-0.5"/>
    <n v="4"/>
    <n v="4"/>
    <n v="4"/>
    <n v="17"/>
    <s v="1980"/>
    <n v="1"/>
  </r>
  <r>
    <n v="1"/>
    <d v="1980-06-30T00:00:00"/>
    <x v="0"/>
    <n v="4"/>
    <n v="4"/>
    <n v="0.75"/>
    <n v="0.25"/>
    <n v="8"/>
    <n v="0.75"/>
    <n v="0"/>
    <n v="0"/>
    <n v="0"/>
    <n v="0"/>
    <n v="0"/>
    <n v="1"/>
    <n v="0"/>
    <n v="0"/>
    <n v="2"/>
    <n v="4"/>
    <n v="4"/>
    <n v="10"/>
    <n v="4.5"/>
    <n v="7.125"/>
    <n v="0"/>
    <n v="-0.6"/>
    <n v="4"/>
    <n v="5"/>
    <n v="4"/>
    <n v="17"/>
    <s v="1980"/>
    <n v="2"/>
  </r>
  <r>
    <n v="1"/>
    <d v="1980-09-30T00:00:00"/>
    <x v="0"/>
    <n v="5"/>
    <n v="5"/>
    <n v="0.4"/>
    <n v="0.6"/>
    <n v="5.4"/>
    <n v="0.4"/>
    <n v="0"/>
    <n v="0"/>
    <n v="0"/>
    <n v="0"/>
    <n v="0"/>
    <n v="1"/>
    <n v="1"/>
    <n v="0"/>
    <n v="0"/>
    <n v="4"/>
    <n v="4"/>
    <n v="6"/>
    <n v="4.25"/>
    <n v="6.375"/>
    <n v="0.25"/>
    <n v="-0.1666666666666666"/>
    <n v="5"/>
    <n v="4"/>
    <n v="4"/>
    <n v="17"/>
    <s v="1980"/>
    <n v="3"/>
  </r>
  <r>
    <n v="1"/>
    <d v="1980-12-31T00:00:00"/>
    <x v="0"/>
    <n v="4"/>
    <n v="4"/>
    <n v="1"/>
    <n v="0"/>
    <n v="10.75"/>
    <n v="0"/>
    <n v="0"/>
    <n v="0"/>
    <n v="0"/>
    <n v="0"/>
    <n v="0"/>
    <n v="0"/>
    <n v="0"/>
    <n v="0"/>
    <n v="0"/>
    <n v="5"/>
    <n v="4"/>
    <n v="4"/>
    <n v="4.25"/>
    <n v="5.625"/>
    <n v="-0.1999999999999999"/>
    <n v="0"/>
    <n v="4"/>
    <n v="3"/>
    <n v="4"/>
    <n v="17"/>
    <s v="1980"/>
    <n v="4"/>
  </r>
  <r>
    <n v="1"/>
    <d v="1981-03-31T00:00:00"/>
    <x v="0"/>
    <n v="3"/>
    <n v="3"/>
    <n v="1"/>
    <n v="0"/>
    <n v="11"/>
    <n v="1.3333333333333333"/>
    <n v="0"/>
    <n v="0"/>
    <n v="0"/>
    <n v="0"/>
    <n v="0"/>
    <n v="2"/>
    <n v="1"/>
    <n v="0"/>
    <n v="1"/>
    <n v="4"/>
    <n v="5"/>
    <n v="4"/>
    <n v="4"/>
    <n v="5"/>
    <n v="-0.25"/>
    <n v="-0.25"/>
    <n v="3"/>
    <n v="1"/>
    <n v="5"/>
    <n v="12"/>
    <s v="1981"/>
    <n v="1"/>
  </r>
  <r>
    <n v="1"/>
    <d v="1981-06-30T00:00:00"/>
    <x v="0"/>
    <n v="1"/>
    <n v="1"/>
    <n v="1"/>
    <n v="0"/>
    <n v="5"/>
    <n v="1"/>
    <n v="0"/>
    <n v="0"/>
    <n v="0"/>
    <n v="0"/>
    <n v="0"/>
    <n v="1"/>
    <n v="0"/>
    <n v="0"/>
    <n v="0"/>
    <n v="3"/>
    <n v="4"/>
    <n v="4"/>
    <n v="3.25"/>
    <n v="3.875"/>
    <n v="-0.66666666666666674"/>
    <n v="-0.75"/>
    <n v="1"/>
    <n v="3"/>
    <n v="5"/>
    <n v="12"/>
    <s v="1981"/>
    <n v="2"/>
  </r>
  <r>
    <n v="1"/>
    <d v="1981-09-30T00:00:00"/>
    <x v="0"/>
    <n v="3"/>
    <n v="3"/>
    <n v="0.66666666666666663"/>
    <n v="0.33333333333333331"/>
    <n v="4"/>
    <n v="0.66666666666666663"/>
    <n v="0"/>
    <n v="0"/>
    <n v="0"/>
    <n v="0"/>
    <n v="0"/>
    <n v="2"/>
    <n v="0"/>
    <n v="0"/>
    <n v="0"/>
    <n v="1"/>
    <n v="3"/>
    <n v="5"/>
    <n v="2.75"/>
    <n v="3.5"/>
    <n v="2"/>
    <n v="-0.4"/>
    <n v="3"/>
    <n v="5"/>
    <n v="5"/>
    <n v="12"/>
    <s v="1981"/>
    <n v="3"/>
  </r>
  <r>
    <n v="1"/>
    <d v="1981-12-31T00:00:00"/>
    <x v="0"/>
    <n v="5"/>
    <n v="5"/>
    <n v="1"/>
    <n v="0"/>
    <n v="12.2"/>
    <n v="0.2"/>
    <n v="0"/>
    <n v="0"/>
    <n v="0"/>
    <n v="0"/>
    <n v="0"/>
    <n v="1"/>
    <n v="0"/>
    <n v="0"/>
    <n v="0"/>
    <n v="3"/>
    <n v="1"/>
    <n v="4"/>
    <n v="3"/>
    <n v="3.625"/>
    <n v="0.66666666666666674"/>
    <n v="0.25"/>
    <n v="5"/>
    <n v="1"/>
    <n v="5"/>
    <n v="12"/>
    <s v="1981"/>
    <n v="4"/>
  </r>
  <r>
    <n v="1"/>
    <d v="1982-03-31T00:00:00"/>
    <x v="0"/>
    <n v="1"/>
    <n v="1"/>
    <n v="1"/>
    <n v="0"/>
    <n v="3"/>
    <n v="0"/>
    <n v="0"/>
    <n v="0"/>
    <n v="0"/>
    <n v="0"/>
    <n v="0"/>
    <n v="0"/>
    <n v="0"/>
    <n v="0"/>
    <n v="0"/>
    <n v="5"/>
    <n v="3"/>
    <n v="3"/>
    <n v="2.5"/>
    <n v="3.25"/>
    <n v="-0.8"/>
    <n v="-0.66666666666666674"/>
    <n v="1"/>
    <n v="4"/>
    <n v="6"/>
    <n v="14"/>
    <s v="1982"/>
    <n v="1"/>
  </r>
  <r>
    <n v="1"/>
    <d v="1982-06-30T00:00:00"/>
    <x v="0"/>
    <n v="4"/>
    <n v="4"/>
    <n v="0.5"/>
    <n v="0.5"/>
    <n v="5.25"/>
    <n v="0.25"/>
    <n v="0"/>
    <n v="0"/>
    <n v="0"/>
    <n v="0"/>
    <n v="0"/>
    <n v="1"/>
    <n v="0"/>
    <n v="0"/>
    <n v="0"/>
    <n v="1"/>
    <n v="5"/>
    <n v="1"/>
    <n v="3.25"/>
    <n v="3.25"/>
    <n v="3"/>
    <n v="3"/>
    <n v="4"/>
    <n v="3"/>
    <n v="6"/>
    <n v="14"/>
    <s v="1982"/>
    <n v="2"/>
  </r>
  <r>
    <n v="1"/>
    <d v="1982-09-30T00:00:00"/>
    <x v="0"/>
    <n v="3"/>
    <n v="3"/>
    <n v="1"/>
    <n v="0"/>
    <n v="13"/>
    <n v="1.3333333333333333"/>
    <n v="0"/>
    <n v="0"/>
    <n v="0"/>
    <n v="0"/>
    <n v="0"/>
    <n v="3"/>
    <n v="0"/>
    <n v="0"/>
    <n v="1"/>
    <n v="4"/>
    <n v="1"/>
    <n v="3"/>
    <n v="3.25"/>
    <n v="3"/>
    <n v="-0.25"/>
    <n v="0"/>
    <n v="3"/>
    <n v="6"/>
    <n v="6"/>
    <n v="14"/>
    <s v="1982"/>
    <n v="3"/>
  </r>
  <r>
    <n v="1"/>
    <d v="1982-12-31T00:00:00"/>
    <x v="0"/>
    <n v="6"/>
    <n v="6"/>
    <n v="1"/>
    <n v="0"/>
    <n v="10.333333333333334"/>
    <n v="0.83333333333333337"/>
    <n v="0"/>
    <n v="0"/>
    <n v="0"/>
    <n v="0"/>
    <n v="0"/>
    <n v="4"/>
    <n v="0"/>
    <n v="0"/>
    <n v="1"/>
    <n v="3"/>
    <n v="4"/>
    <n v="5"/>
    <n v="3.5"/>
    <n v="3.25"/>
    <n v="1"/>
    <n v="0.1999999999999999"/>
    <n v="6"/>
    <n v="5"/>
    <n v="6"/>
    <n v="14"/>
    <s v="1982"/>
    <n v="4"/>
  </r>
  <r>
    <n v="1"/>
    <d v="1983-03-31T00:00:00"/>
    <x v="0"/>
    <n v="5"/>
    <n v="5"/>
    <n v="0.8"/>
    <n v="0.2"/>
    <n v="10.199999999999999"/>
    <n v="0.2"/>
    <n v="0"/>
    <n v="0"/>
    <n v="0"/>
    <n v="0"/>
    <n v="0"/>
    <n v="1"/>
    <n v="0"/>
    <n v="0"/>
    <n v="0"/>
    <n v="6"/>
    <n v="3"/>
    <n v="1"/>
    <n v="4.5"/>
    <n v="3.5"/>
    <n v="-0.1666666666666666"/>
    <n v="4"/>
    <n v="5"/>
    <n v="3"/>
    <n v="7"/>
    <n v="22"/>
    <s v="1983"/>
    <n v="1"/>
  </r>
  <r>
    <n v="1"/>
    <d v="1983-06-30T00:00:00"/>
    <x v="0"/>
    <n v="3"/>
    <n v="3"/>
    <n v="1"/>
    <n v="0"/>
    <n v="14"/>
    <n v="1"/>
    <n v="0"/>
    <n v="0"/>
    <n v="0"/>
    <n v="0"/>
    <n v="0"/>
    <n v="2"/>
    <n v="0"/>
    <n v="0"/>
    <n v="1"/>
    <n v="5"/>
    <n v="6"/>
    <n v="4"/>
    <n v="4.25"/>
    <n v="3.75"/>
    <n v="-0.4"/>
    <n v="-0.25"/>
    <n v="3"/>
    <n v="5"/>
    <n v="7"/>
    <n v="22"/>
    <s v="1983"/>
    <n v="2"/>
  </r>
  <r>
    <n v="1"/>
    <d v="1983-09-30T00:00:00"/>
    <x v="0"/>
    <n v="5"/>
    <n v="5"/>
    <n v="0.8"/>
    <n v="0.2"/>
    <n v="8.1999999999999993"/>
    <n v="0"/>
    <n v="0"/>
    <n v="0"/>
    <n v="0"/>
    <n v="0"/>
    <n v="0"/>
    <n v="0"/>
    <n v="0"/>
    <n v="0"/>
    <n v="0"/>
    <n v="3"/>
    <n v="5"/>
    <n v="3"/>
    <n v="4.75"/>
    <n v="4"/>
    <n v="0.66666666666666674"/>
    <n v="0.66666666666666674"/>
    <n v="5"/>
    <n v="9"/>
    <n v="7"/>
    <n v="22"/>
    <s v="1983"/>
    <n v="3"/>
  </r>
  <r>
    <n v="1"/>
    <d v="1983-12-31T00:00:00"/>
    <x v="0"/>
    <n v="9"/>
    <n v="9"/>
    <n v="0.44444444444444442"/>
    <n v="0.55555555555555558"/>
    <n v="6.666666666666667"/>
    <n v="0.22222222222222221"/>
    <n v="0"/>
    <n v="0"/>
    <n v="0"/>
    <n v="0"/>
    <n v="0"/>
    <n v="2"/>
    <n v="0"/>
    <n v="0"/>
    <n v="0"/>
    <n v="5"/>
    <n v="3"/>
    <n v="6"/>
    <n v="5.5"/>
    <n v="4.5"/>
    <n v="0.8"/>
    <n v="0.5"/>
    <n v="9"/>
    <n v="7"/>
    <n v="7"/>
    <n v="22"/>
    <s v="1983"/>
    <n v="4"/>
  </r>
  <r>
    <n v="1"/>
    <d v="1984-03-31T00:00:00"/>
    <x v="0"/>
    <n v="7"/>
    <n v="7"/>
    <n v="0.5714285714285714"/>
    <n v="0.42857142857142849"/>
    <n v="5.7142857142857144"/>
    <n v="0"/>
    <n v="0"/>
    <n v="0"/>
    <n v="0"/>
    <n v="0"/>
    <n v="0"/>
    <n v="0"/>
    <n v="0"/>
    <n v="0"/>
    <n v="0"/>
    <n v="9"/>
    <n v="5"/>
    <n v="5"/>
    <n v="6"/>
    <n v="5.25"/>
    <n v="-0.22222222222222221"/>
    <n v="0.39999999999999991"/>
    <n v="7"/>
    <n v="6"/>
    <n v="8"/>
    <n v="34"/>
    <s v="1984"/>
    <n v="1"/>
  </r>
  <r>
    <n v="1"/>
    <d v="1984-06-30T00:00:00"/>
    <x v="0"/>
    <n v="6"/>
    <n v="6"/>
    <n v="0.66666666666666663"/>
    <n v="0.33333333333333331"/>
    <n v="5.166666666666667"/>
    <n v="0.33333333333333331"/>
    <n v="0"/>
    <n v="0"/>
    <n v="0"/>
    <n v="0"/>
    <n v="0"/>
    <n v="2"/>
    <n v="0"/>
    <n v="0"/>
    <n v="0"/>
    <n v="7"/>
    <n v="9"/>
    <n v="3"/>
    <n v="6.75"/>
    <n v="5.5"/>
    <n v="-0.1428571428571429"/>
    <n v="1"/>
    <n v="6"/>
    <n v="15"/>
    <n v="8"/>
    <n v="34"/>
    <s v="1984"/>
    <n v="2"/>
  </r>
  <r>
    <n v="1"/>
    <d v="1984-09-30T00:00:00"/>
    <x v="0"/>
    <n v="15"/>
    <n v="15"/>
    <n v="0.8666666666666667"/>
    <n v="0.1333333333333333"/>
    <n v="11.333333333333334"/>
    <n v="0.33333333333333331"/>
    <n v="0"/>
    <n v="0"/>
    <n v="0"/>
    <n v="0"/>
    <n v="0"/>
    <n v="4"/>
    <n v="0"/>
    <n v="0"/>
    <n v="1"/>
    <n v="6"/>
    <n v="7"/>
    <n v="5"/>
    <n v="9.25"/>
    <n v="7"/>
    <n v="1.5"/>
    <n v="2"/>
    <n v="15"/>
    <n v="6"/>
    <n v="8"/>
    <n v="34"/>
    <s v="1984"/>
    <n v="3"/>
  </r>
  <r>
    <n v="1"/>
    <d v="1984-12-31T00:00:00"/>
    <x v="0"/>
    <n v="6"/>
    <n v="6"/>
    <n v="0.83333333333333337"/>
    <n v="0.1666666666666666"/>
    <n v="11.833333333333334"/>
    <n v="0.5"/>
    <n v="0"/>
    <n v="0"/>
    <n v="0"/>
    <n v="0"/>
    <n v="0"/>
    <n v="2"/>
    <n v="1"/>
    <n v="0"/>
    <n v="0"/>
    <n v="15"/>
    <n v="6"/>
    <n v="9"/>
    <n v="8.5"/>
    <n v="7"/>
    <n v="-0.6"/>
    <n v="-0.33333333333333331"/>
    <n v="6"/>
    <n v="5"/>
    <n v="8"/>
    <n v="34"/>
    <s v="1984"/>
    <n v="4"/>
  </r>
  <r>
    <n v="1"/>
    <d v="1985-03-31T00:00:00"/>
    <x v="0"/>
    <n v="5"/>
    <n v="5"/>
    <n v="0.6"/>
    <n v="0.4"/>
    <n v="8.8000000000000007"/>
    <n v="0.4"/>
    <n v="0"/>
    <n v="0"/>
    <n v="0"/>
    <n v="0"/>
    <n v="0"/>
    <n v="2"/>
    <n v="0"/>
    <n v="0"/>
    <n v="0"/>
    <n v="6"/>
    <n v="15"/>
    <n v="7"/>
    <n v="8"/>
    <n v="7"/>
    <n v="-0.1666666666666666"/>
    <n v="-0.2857142857142857"/>
    <n v="5"/>
    <n v="3"/>
    <n v="9"/>
    <n v="26"/>
    <s v="1985"/>
    <n v="1"/>
  </r>
  <r>
    <n v="1"/>
    <d v="1985-06-30T00:00:00"/>
    <x v="0"/>
    <n v="3"/>
    <n v="3"/>
    <n v="1"/>
    <n v="0"/>
    <n v="11.333333333333334"/>
    <n v="0.33333333333333331"/>
    <n v="0"/>
    <n v="0"/>
    <n v="0"/>
    <n v="0"/>
    <n v="0"/>
    <n v="1"/>
    <n v="0"/>
    <n v="0"/>
    <n v="0"/>
    <n v="5"/>
    <n v="6"/>
    <n v="6"/>
    <n v="7.25"/>
    <n v="7"/>
    <n v="-0.4"/>
    <n v="-0.5"/>
    <n v="3"/>
    <n v="6"/>
    <n v="9"/>
    <n v="26"/>
    <s v="1985"/>
    <n v="2"/>
  </r>
  <r>
    <n v="1"/>
    <d v="1985-09-30T00:00:00"/>
    <x v="0"/>
    <n v="6"/>
    <n v="6"/>
    <n v="1"/>
    <n v="0"/>
    <n v="9.5"/>
    <n v="0.66666666666666663"/>
    <n v="0"/>
    <n v="0"/>
    <n v="0"/>
    <n v="0"/>
    <n v="0"/>
    <n v="3"/>
    <n v="0"/>
    <n v="0"/>
    <n v="1"/>
    <n v="3"/>
    <n v="5"/>
    <n v="15"/>
    <n v="5"/>
    <n v="7.125"/>
    <n v="1"/>
    <n v="-0.6"/>
    <n v="6"/>
    <n v="12"/>
    <n v="9"/>
    <n v="26"/>
    <s v="1985"/>
    <n v="3"/>
  </r>
  <r>
    <n v="1"/>
    <d v="1985-12-31T00:00:00"/>
    <x v="0"/>
    <n v="12"/>
    <n v="12"/>
    <n v="0.91666666666666663"/>
    <n v="8.3333333333333301E-2"/>
    <n v="8.0833333333333339"/>
    <n v="0.25"/>
    <n v="0"/>
    <n v="0"/>
    <n v="1"/>
    <n v="0"/>
    <n v="0"/>
    <n v="2"/>
    <n v="0"/>
    <n v="0"/>
    <n v="0"/>
    <n v="6"/>
    <n v="3"/>
    <n v="6"/>
    <n v="6.5"/>
    <n v="7.5"/>
    <n v="1"/>
    <n v="1"/>
    <n v="12"/>
    <n v="15"/>
    <n v="9"/>
    <n v="26"/>
    <s v="1985"/>
    <n v="4"/>
  </r>
  <r>
    <n v="1"/>
    <d v="1986-03-31T00:00:00"/>
    <x v="0"/>
    <n v="15"/>
    <n v="15"/>
    <n v="0.93333333333333324"/>
    <n v="6.6666666666666596E-2"/>
    <n v="9.1999999999999993"/>
    <n v="0.26666666666666661"/>
    <n v="0"/>
    <n v="0"/>
    <n v="0"/>
    <n v="0"/>
    <n v="0"/>
    <n v="4"/>
    <n v="0"/>
    <n v="0"/>
    <n v="0"/>
    <n v="12"/>
    <n v="6"/>
    <n v="5"/>
    <n v="9"/>
    <n v="8.5"/>
    <n v="0.25"/>
    <n v="2"/>
    <n v="15"/>
    <n v="9"/>
    <n v="10"/>
    <n v="49"/>
    <s v="1986"/>
    <n v="1"/>
  </r>
  <r>
    <n v="1"/>
    <d v="1986-06-30T00:00:00"/>
    <x v="0"/>
    <n v="9"/>
    <n v="9"/>
    <n v="0.44444444444444442"/>
    <n v="0.55555555555555558"/>
    <n v="7"/>
    <n v="0.44444444444444442"/>
    <n v="0"/>
    <n v="0"/>
    <n v="0"/>
    <n v="0"/>
    <n v="0"/>
    <n v="1"/>
    <n v="1"/>
    <n v="0"/>
    <n v="2"/>
    <n v="15"/>
    <n v="12"/>
    <n v="3"/>
    <n v="10.5"/>
    <n v="8.875"/>
    <n v="-0.4"/>
    <n v="2"/>
    <n v="9"/>
    <n v="10"/>
    <n v="10"/>
    <n v="49"/>
    <s v="1986"/>
    <n v="2"/>
  </r>
  <r>
    <n v="1"/>
    <d v="1986-09-30T00:00:00"/>
    <x v="0"/>
    <n v="10"/>
    <n v="10"/>
    <n v="0.8"/>
    <n v="0.2"/>
    <n v="5.6"/>
    <n v="0"/>
    <n v="0"/>
    <n v="0"/>
    <n v="0"/>
    <n v="0"/>
    <n v="0"/>
    <n v="0"/>
    <n v="0"/>
    <n v="0"/>
    <n v="0"/>
    <n v="9"/>
    <n v="15"/>
    <n v="6"/>
    <n v="11.5"/>
    <n v="8.25"/>
    <n v="0.1111111111111111"/>
    <n v="0.66666666666666674"/>
    <n v="10"/>
    <n v="15"/>
    <n v="10"/>
    <n v="49"/>
    <s v="1986"/>
    <n v="3"/>
  </r>
  <r>
    <n v="1"/>
    <d v="1986-12-31T00:00:00"/>
    <x v="0"/>
    <n v="15"/>
    <n v="15"/>
    <n v="0.8"/>
    <n v="0.2"/>
    <n v="8.8000000000000007"/>
    <n v="0.26666666666666661"/>
    <n v="0"/>
    <n v="0"/>
    <n v="0"/>
    <n v="0"/>
    <n v="0"/>
    <n v="3"/>
    <n v="0"/>
    <n v="0"/>
    <n v="1"/>
    <n v="10"/>
    <n v="9"/>
    <n v="12"/>
    <n v="12.25"/>
    <n v="9.375"/>
    <n v="0.5"/>
    <n v="0.25"/>
    <n v="15"/>
    <n v="9"/>
    <n v="10"/>
    <n v="49"/>
    <s v="1986"/>
    <n v="4"/>
  </r>
  <r>
    <n v="1"/>
    <d v="1987-03-31T00:00:00"/>
    <x v="0"/>
    <n v="9"/>
    <n v="9"/>
    <n v="1"/>
    <n v="0"/>
    <n v="11.111111111111111"/>
    <n v="0.88888888888888884"/>
    <n v="0"/>
    <n v="0"/>
    <n v="0"/>
    <n v="0"/>
    <n v="0"/>
    <n v="6"/>
    <n v="2"/>
    <n v="0"/>
    <n v="0"/>
    <n v="15"/>
    <n v="10"/>
    <n v="15"/>
    <n v="10.75"/>
    <n v="9.875"/>
    <n v="-0.4"/>
    <n v="-0.4"/>
    <n v="9"/>
    <n v="12"/>
    <n v="11"/>
    <n v="42"/>
    <s v="1987"/>
    <n v="1"/>
  </r>
  <r>
    <n v="1"/>
    <d v="1987-06-30T00:00:00"/>
    <x v="0"/>
    <n v="12"/>
    <n v="12"/>
    <n v="1"/>
    <n v="0"/>
    <n v="10.333333333333334"/>
    <n v="0.1666666666666666"/>
    <n v="0"/>
    <n v="0"/>
    <n v="0"/>
    <n v="0"/>
    <n v="0"/>
    <n v="2"/>
    <n v="0"/>
    <n v="0"/>
    <n v="0"/>
    <n v="9"/>
    <n v="15"/>
    <n v="9"/>
    <n v="11.5"/>
    <n v="11"/>
    <n v="0.3333333333333332"/>
    <n v="0.3333333333333332"/>
    <n v="12"/>
    <n v="11"/>
    <n v="11"/>
    <n v="42"/>
    <s v="1987"/>
    <n v="2"/>
  </r>
  <r>
    <n v="1"/>
    <d v="1987-09-30T00:00:00"/>
    <x v="0"/>
    <n v="11"/>
    <n v="11"/>
    <n v="0.81818181818181823"/>
    <n v="0.1818181818181818"/>
    <n v="6.5454545454545459"/>
    <n v="0.1818181818181818"/>
    <n v="0"/>
    <n v="0"/>
    <n v="0"/>
    <n v="0"/>
    <n v="0"/>
    <n v="2"/>
    <n v="0"/>
    <n v="0"/>
    <n v="0"/>
    <n v="12"/>
    <n v="9"/>
    <n v="10"/>
    <n v="11.75"/>
    <n v="11.625"/>
    <n v="-8.3333333333333301E-2"/>
    <n v="0.1"/>
    <n v="11"/>
    <n v="10"/>
    <n v="11"/>
    <n v="42"/>
    <s v="1987"/>
    <n v="3"/>
  </r>
  <r>
    <n v="1"/>
    <d v="1987-12-31T00:00:00"/>
    <x v="0"/>
    <n v="10"/>
    <n v="10"/>
    <n v="1"/>
    <n v="0"/>
    <n v="10.4"/>
    <n v="0.4"/>
    <n v="0"/>
    <n v="0"/>
    <n v="0"/>
    <n v="0"/>
    <n v="0"/>
    <n v="4"/>
    <n v="0"/>
    <n v="0"/>
    <n v="0"/>
    <n v="11"/>
    <n v="12"/>
    <n v="15"/>
    <n v="10.5"/>
    <n v="11.375"/>
    <n v="-9.0909090909090898E-2"/>
    <n v="-0.33333333333333331"/>
    <n v="10"/>
    <n v="13"/>
    <n v="11"/>
    <n v="42"/>
    <s v="1987"/>
    <n v="4"/>
  </r>
  <r>
    <n v="1"/>
    <d v="1988-03-31T00:00:00"/>
    <x v="0"/>
    <n v="13"/>
    <n v="13"/>
    <n v="0.84615384615384615"/>
    <n v="0.1538461538461538"/>
    <n v="6.9230769230769234"/>
    <n v="0.30769230769230771"/>
    <n v="0"/>
    <n v="0"/>
    <n v="0"/>
    <n v="0"/>
    <n v="0"/>
    <n v="3"/>
    <n v="0"/>
    <n v="0"/>
    <n v="1"/>
    <n v="10"/>
    <n v="11"/>
    <n v="9"/>
    <n v="11.5"/>
    <n v="11.125"/>
    <n v="0.3"/>
    <n v="0.44444444444444442"/>
    <n v="13"/>
    <n v="9"/>
    <n v="12"/>
    <n v="40"/>
    <s v="1988"/>
    <n v="1"/>
  </r>
  <r>
    <n v="1"/>
    <d v="1988-06-30T00:00:00"/>
    <x v="0"/>
    <n v="9"/>
    <n v="9"/>
    <n v="1"/>
    <n v="0"/>
    <n v="9.1111111111111107"/>
    <n v="0"/>
    <n v="0"/>
    <n v="0"/>
    <n v="0"/>
    <n v="0"/>
    <n v="0"/>
    <n v="0"/>
    <n v="0"/>
    <n v="0"/>
    <n v="0"/>
    <n v="13"/>
    <n v="10"/>
    <n v="12"/>
    <n v="10.75"/>
    <n v="11.125"/>
    <n v="-0.30769230769230771"/>
    <n v="-0.25"/>
    <n v="9"/>
    <n v="9"/>
    <n v="12"/>
    <n v="40"/>
    <s v="1988"/>
    <n v="2"/>
  </r>
  <r>
    <n v="1"/>
    <d v="1988-09-30T00:00:00"/>
    <x v="0"/>
    <n v="9"/>
    <n v="9"/>
    <n v="1"/>
    <n v="0"/>
    <n v="7.666666666666667"/>
    <n v="0.33333333333333331"/>
    <n v="0"/>
    <n v="0"/>
    <n v="0"/>
    <n v="0"/>
    <n v="0"/>
    <n v="2"/>
    <n v="0"/>
    <n v="0"/>
    <n v="1"/>
    <n v="9"/>
    <n v="13"/>
    <n v="11"/>
    <n v="10.25"/>
    <n v="11"/>
    <n v="0"/>
    <n v="-0.18181818181818171"/>
    <n v="9"/>
    <n v="9"/>
    <n v="12"/>
    <n v="40"/>
    <s v="1988"/>
    <n v="3"/>
  </r>
  <r>
    <n v="1"/>
    <d v="1988-12-31T00:00:00"/>
    <x v="0"/>
    <n v="9"/>
    <n v="9"/>
    <n v="1"/>
    <n v="0"/>
    <n v="8.5555555555555554"/>
    <n v="0.44444444444444442"/>
    <n v="0"/>
    <n v="0"/>
    <n v="0"/>
    <n v="0"/>
    <n v="0"/>
    <n v="3"/>
    <n v="0"/>
    <n v="1"/>
    <n v="0"/>
    <n v="9"/>
    <n v="9"/>
    <n v="10"/>
    <n v="10"/>
    <n v="10.25"/>
    <n v="0"/>
    <n v="-9.9999999999999895E-2"/>
    <n v="9"/>
    <n v="8"/>
    <n v="12"/>
    <n v="40"/>
    <s v="1988"/>
    <n v="4"/>
  </r>
  <r>
    <n v="1"/>
    <d v="1989-03-31T00:00:00"/>
    <x v="0"/>
    <n v="8"/>
    <n v="8"/>
    <n v="1"/>
    <n v="0"/>
    <n v="6.125"/>
    <n v="0.5"/>
    <n v="0"/>
    <n v="0"/>
    <n v="0"/>
    <n v="0"/>
    <n v="0"/>
    <n v="3"/>
    <n v="0"/>
    <n v="0"/>
    <n v="1"/>
    <n v="9"/>
    <n v="9"/>
    <n v="13"/>
    <n v="8.75"/>
    <n v="10.125"/>
    <n v="-0.1111111111111111"/>
    <n v="-0.38461538461538458"/>
    <n v="8"/>
    <n v="4"/>
    <n v="13"/>
    <n v="29"/>
    <s v="1989"/>
    <n v="1"/>
  </r>
  <r>
    <n v="1"/>
    <d v="1989-06-30T00:00:00"/>
    <x v="0"/>
    <n v="4"/>
    <n v="4"/>
    <n v="0.75"/>
    <n v="0.25"/>
    <n v="7.5"/>
    <n v="0.5"/>
    <n v="0"/>
    <n v="0"/>
    <n v="0"/>
    <n v="0"/>
    <n v="0"/>
    <n v="1"/>
    <n v="1"/>
    <n v="0"/>
    <n v="0"/>
    <n v="8"/>
    <n v="9"/>
    <n v="9"/>
    <n v="7.5"/>
    <n v="9.125"/>
    <n v="-0.5"/>
    <n v="-0.55555555555555558"/>
    <n v="4"/>
    <n v="14"/>
    <n v="13"/>
    <n v="29"/>
    <s v="1989"/>
    <n v="2"/>
  </r>
  <r>
    <n v="1"/>
    <d v="1989-09-30T00:00:00"/>
    <x v="0"/>
    <n v="14"/>
    <n v="14"/>
    <n v="1"/>
    <n v="0"/>
    <n v="13.571428571428571"/>
    <n v="0.5714285714285714"/>
    <n v="0"/>
    <n v="0"/>
    <n v="0"/>
    <n v="0"/>
    <n v="0"/>
    <n v="5"/>
    <n v="2"/>
    <n v="0"/>
    <n v="1"/>
    <n v="4"/>
    <n v="8"/>
    <n v="9"/>
    <n v="8.75"/>
    <n v="9.5"/>
    <n v="2.5"/>
    <n v="0.55555555555555558"/>
    <n v="14"/>
    <n v="3"/>
    <n v="13"/>
    <n v="29"/>
    <s v="1989"/>
    <n v="3"/>
  </r>
  <r>
    <n v="1"/>
    <d v="1989-12-31T00:00:00"/>
    <x v="0"/>
    <n v="3"/>
    <n v="3"/>
    <n v="1"/>
    <n v="0"/>
    <n v="11"/>
    <n v="0.66666666666666663"/>
    <n v="0"/>
    <n v="0"/>
    <n v="0"/>
    <n v="0"/>
    <n v="0"/>
    <n v="2"/>
    <n v="0"/>
    <n v="0"/>
    <n v="0"/>
    <n v="14"/>
    <n v="4"/>
    <n v="9"/>
    <n v="7.25"/>
    <n v="8.625"/>
    <n v="-0.7857142857142857"/>
    <n v="-0.66666666666666674"/>
    <n v="3"/>
    <n v="6"/>
    <n v="13"/>
    <n v="29"/>
    <s v="1989"/>
    <n v="4"/>
  </r>
  <r>
    <n v="1"/>
    <d v="1990-03-31T00:00:00"/>
    <x v="1"/>
    <n v="6"/>
    <n v="6"/>
    <n v="0.66666666666666663"/>
    <n v="0.33333333333333331"/>
    <n v="8.5"/>
    <n v="0.66666666666666663"/>
    <n v="0"/>
    <n v="0"/>
    <n v="0"/>
    <n v="0"/>
    <n v="0"/>
    <n v="3"/>
    <n v="0"/>
    <n v="0"/>
    <n v="1"/>
    <n v="3"/>
    <n v="14"/>
    <n v="8"/>
    <n v="6.75"/>
    <n v="7.75"/>
    <n v="1"/>
    <n v="-0.25"/>
    <n v="6"/>
    <n v="6"/>
    <n v="14"/>
    <n v="33"/>
    <s v="1990"/>
    <n v="1"/>
  </r>
  <r>
    <n v="1"/>
    <d v="1990-06-30T00:00:00"/>
    <x v="1"/>
    <n v="6"/>
    <n v="6"/>
    <n v="0.83333333333333337"/>
    <n v="0.1666666666666666"/>
    <n v="14.166666666666666"/>
    <n v="0.83333333333333337"/>
    <n v="0"/>
    <n v="0"/>
    <n v="0"/>
    <n v="0"/>
    <n v="0"/>
    <n v="3"/>
    <n v="0"/>
    <n v="0"/>
    <n v="2"/>
    <n v="6"/>
    <n v="3"/>
    <n v="4"/>
    <n v="7.25"/>
    <n v="7.375"/>
    <n v="0"/>
    <n v="0.5"/>
    <n v="6"/>
    <n v="14"/>
    <n v="14"/>
    <n v="33"/>
    <s v="1990"/>
    <n v="2"/>
  </r>
  <r>
    <n v="1"/>
    <d v="1990-09-30T00:00:00"/>
    <x v="1"/>
    <n v="14"/>
    <n v="14"/>
    <n v="0.7142857142857143"/>
    <n v="0.2857142857142857"/>
    <n v="9.0714285714285712"/>
    <n v="0.42857142857142849"/>
    <n v="0"/>
    <n v="0"/>
    <n v="0"/>
    <n v="0"/>
    <n v="0"/>
    <n v="3"/>
    <n v="2"/>
    <n v="1"/>
    <n v="0"/>
    <n v="6"/>
    <n v="6"/>
    <n v="14"/>
    <n v="7.25"/>
    <n v="8"/>
    <n v="1.3333333333333337"/>
    <n v="0"/>
    <n v="14"/>
    <n v="7"/>
    <n v="14"/>
    <n v="33"/>
    <s v="1990"/>
    <n v="3"/>
  </r>
  <r>
    <n v="1"/>
    <d v="1990-12-31T00:00:00"/>
    <x v="1"/>
    <n v="7"/>
    <n v="7"/>
    <n v="0.8571428571428571"/>
    <n v="0.14285714285714279"/>
    <n v="9.8571428571428577"/>
    <n v="0.7142857142857143"/>
    <n v="0"/>
    <n v="0"/>
    <n v="0"/>
    <n v="0"/>
    <n v="0"/>
    <n v="3"/>
    <n v="1"/>
    <n v="0"/>
    <n v="1"/>
    <n v="14"/>
    <n v="6"/>
    <n v="3"/>
    <n v="8.25"/>
    <n v="7.75"/>
    <n v="-0.5"/>
    <n v="1.3333333333333337"/>
    <n v="7"/>
    <n v="9"/>
    <n v="14"/>
    <n v="33"/>
    <s v="1990"/>
    <n v="4"/>
  </r>
  <r>
    <n v="1"/>
    <d v="1991-03-31T00:00:00"/>
    <x v="1"/>
    <n v="9"/>
    <n v="9"/>
    <n v="0.88888888888888884"/>
    <n v="0.1111111111111111"/>
    <n v="10.77777777777778"/>
    <n v="0.44444444444444442"/>
    <n v="0"/>
    <n v="0"/>
    <n v="0"/>
    <n v="0"/>
    <n v="0"/>
    <n v="3"/>
    <n v="0"/>
    <n v="0"/>
    <n v="1"/>
    <n v="7"/>
    <n v="14"/>
    <n v="6"/>
    <n v="9"/>
    <n v="7.875"/>
    <n v="0.28571428571428581"/>
    <n v="0.5"/>
    <n v="9"/>
    <n v="7"/>
    <n v="15"/>
    <n v="40"/>
    <s v="1991"/>
    <n v="1"/>
  </r>
  <r>
    <n v="1"/>
    <d v="1991-06-30T00:00:00"/>
    <x v="1"/>
    <n v="7"/>
    <n v="7"/>
    <n v="1"/>
    <n v="0"/>
    <n v="12.714285714285714"/>
    <n v="0.42857142857142849"/>
    <n v="0"/>
    <n v="0"/>
    <n v="0"/>
    <n v="0"/>
    <n v="0"/>
    <n v="2"/>
    <n v="0"/>
    <n v="0"/>
    <n v="1"/>
    <n v="9"/>
    <n v="7"/>
    <n v="6"/>
    <n v="9.25"/>
    <n v="8.25"/>
    <n v="-0.22222222222222221"/>
    <n v="0.16666666666666671"/>
    <n v="7"/>
    <n v="12"/>
    <n v="15"/>
    <n v="40"/>
    <s v="1991"/>
    <n v="2"/>
  </r>
  <r>
    <n v="1"/>
    <d v="1991-09-30T00:00:00"/>
    <x v="1"/>
    <n v="12"/>
    <n v="12"/>
    <n v="1"/>
    <n v="0"/>
    <n v="7.583333333333333"/>
    <n v="0.41666666666666669"/>
    <n v="0"/>
    <n v="0"/>
    <n v="0"/>
    <n v="0"/>
    <n v="0"/>
    <n v="3"/>
    <n v="1"/>
    <n v="0"/>
    <n v="1"/>
    <n v="7"/>
    <n v="9"/>
    <n v="14"/>
    <n v="8.75"/>
    <n v="8"/>
    <n v="0.71428571428571419"/>
    <n v="-0.1428571428571429"/>
    <n v="12"/>
    <n v="12"/>
    <n v="15"/>
    <n v="40"/>
    <s v="1991"/>
    <n v="3"/>
  </r>
  <r>
    <n v="1"/>
    <d v="1991-12-31T00:00:00"/>
    <x v="1"/>
    <n v="12"/>
    <n v="12"/>
    <n v="1"/>
    <n v="0"/>
    <n v="7.916666666666667"/>
    <n v="0.41666666666666669"/>
    <n v="0"/>
    <n v="0"/>
    <n v="0"/>
    <n v="1"/>
    <n v="0"/>
    <n v="3"/>
    <n v="0"/>
    <n v="0"/>
    <n v="1"/>
    <n v="12"/>
    <n v="7"/>
    <n v="7"/>
    <n v="10"/>
    <n v="9.125"/>
    <n v="0"/>
    <n v="0.71428571428571419"/>
    <n v="12"/>
    <n v="11"/>
    <n v="15"/>
    <n v="40"/>
    <s v="1991"/>
    <n v="4"/>
  </r>
  <r>
    <n v="1"/>
    <d v="1992-03-31T00:00:00"/>
    <x v="1"/>
    <n v="11"/>
    <n v="11"/>
    <n v="1"/>
    <n v="0"/>
    <n v="8.9090909090909083"/>
    <n v="0.45454545454545447"/>
    <n v="0"/>
    <n v="0"/>
    <n v="0"/>
    <n v="2"/>
    <n v="0"/>
    <n v="3"/>
    <n v="0"/>
    <n v="0"/>
    <n v="0"/>
    <n v="12"/>
    <n v="12"/>
    <n v="9"/>
    <n v="10.5"/>
    <n v="9.75"/>
    <n v="-8.3333333333333301E-2"/>
    <n v="0.22222222222222229"/>
    <n v="11"/>
    <n v="12"/>
    <n v="16"/>
    <n v="54"/>
    <s v="1992"/>
    <n v="1"/>
  </r>
  <r>
    <n v="1"/>
    <d v="1992-06-30T00:00:00"/>
    <x v="1"/>
    <n v="12"/>
    <n v="12"/>
    <n v="1"/>
    <n v="0"/>
    <n v="9.3333333333333339"/>
    <n v="0.66666666666666663"/>
    <n v="0"/>
    <n v="0"/>
    <n v="0"/>
    <n v="0"/>
    <n v="0"/>
    <n v="8"/>
    <n v="0"/>
    <n v="0"/>
    <n v="0"/>
    <n v="11"/>
    <n v="12"/>
    <n v="7"/>
    <n v="11.75"/>
    <n v="10.5"/>
    <n v="9.0909090909090801E-2"/>
    <n v="0.71428571428571419"/>
    <n v="12"/>
    <n v="19"/>
    <n v="16"/>
    <n v="54"/>
    <s v="1992"/>
    <n v="2"/>
  </r>
  <r>
    <n v="1"/>
    <d v="1992-09-30T00:00:00"/>
    <x v="1"/>
    <n v="19"/>
    <n v="19"/>
    <n v="1"/>
    <n v="0"/>
    <n v="11.421052631578949"/>
    <n v="0.47368421052631571"/>
    <n v="0"/>
    <n v="0"/>
    <n v="0"/>
    <n v="0"/>
    <n v="0"/>
    <n v="9"/>
    <n v="0"/>
    <n v="0"/>
    <n v="0"/>
    <n v="12"/>
    <n v="11"/>
    <n v="12"/>
    <n v="13.5"/>
    <n v="11.125"/>
    <n v="0.58333333333333326"/>
    <n v="0.58333333333333326"/>
    <n v="19"/>
    <n v="12"/>
    <n v="16"/>
    <n v="54"/>
    <s v="1992"/>
    <n v="3"/>
  </r>
  <r>
    <n v="1"/>
    <d v="1992-12-31T00:00:00"/>
    <x v="1"/>
    <n v="12"/>
    <n v="12"/>
    <n v="1"/>
    <n v="0"/>
    <n v="9.4166666666666661"/>
    <n v="0.58333333333333337"/>
    <n v="0"/>
    <n v="0"/>
    <n v="0"/>
    <n v="0"/>
    <n v="0"/>
    <n v="5"/>
    <n v="1"/>
    <n v="1"/>
    <n v="0"/>
    <n v="19"/>
    <n v="12"/>
    <n v="12"/>
    <n v="13.5"/>
    <n v="11.75"/>
    <n v="-0.36842105263157898"/>
    <n v="0"/>
    <n v="12"/>
    <n v="15"/>
    <n v="16"/>
    <n v="54"/>
    <s v="1992"/>
    <n v="4"/>
  </r>
  <r>
    <n v="1"/>
    <d v="1993-03-31T00:00:00"/>
    <x v="1"/>
    <n v="15"/>
    <n v="15"/>
    <n v="1"/>
    <n v="0"/>
    <n v="10.733333333333333"/>
    <n v="0.53333333333333333"/>
    <n v="0"/>
    <n v="0"/>
    <n v="0"/>
    <n v="0"/>
    <n v="0"/>
    <n v="7"/>
    <n v="1"/>
    <n v="0"/>
    <n v="0"/>
    <n v="12"/>
    <n v="19"/>
    <n v="11"/>
    <n v="14.5"/>
    <n v="12.5"/>
    <n v="0.25"/>
    <n v="0.36363636363636348"/>
    <n v="15"/>
    <n v="16"/>
    <n v="17"/>
    <n v="69"/>
    <s v="1993"/>
    <n v="1"/>
  </r>
  <r>
    <n v="1"/>
    <d v="1993-06-30T00:00:00"/>
    <x v="1"/>
    <n v="16"/>
    <n v="16"/>
    <n v="1"/>
    <n v="0"/>
    <n v="7.1875"/>
    <n v="0.4375"/>
    <n v="0"/>
    <n v="0"/>
    <n v="0"/>
    <n v="0"/>
    <n v="0"/>
    <n v="4"/>
    <n v="0"/>
    <n v="3"/>
    <n v="0"/>
    <n v="15"/>
    <n v="12"/>
    <n v="12"/>
    <n v="15.5"/>
    <n v="13.625"/>
    <n v="6.6666666666666596E-2"/>
    <n v="0.3333333333333332"/>
    <n v="16"/>
    <n v="25"/>
    <n v="17"/>
    <n v="69"/>
    <s v="1993"/>
    <n v="2"/>
  </r>
  <r>
    <n v="1"/>
    <d v="1993-09-30T00:00:00"/>
    <x v="1"/>
    <n v="25"/>
    <n v="25"/>
    <n v="0.96"/>
    <n v="0.04"/>
    <n v="8.0399999999999991"/>
    <n v="0.4"/>
    <n v="0"/>
    <n v="0"/>
    <n v="0"/>
    <n v="0"/>
    <n v="0"/>
    <n v="7"/>
    <n v="3"/>
    <n v="0"/>
    <n v="0"/>
    <n v="16"/>
    <n v="15"/>
    <n v="19"/>
    <n v="17"/>
    <n v="15.25"/>
    <n v="0.5625"/>
    <n v="0.31578947368421062"/>
    <n v="25"/>
    <n v="13"/>
    <n v="17"/>
    <n v="69"/>
    <s v="1993"/>
    <n v="3"/>
  </r>
  <r>
    <n v="1"/>
    <d v="1993-12-31T00:00:00"/>
    <x v="1"/>
    <n v="13"/>
    <n v="13"/>
    <n v="1"/>
    <n v="0"/>
    <n v="9.6923076923076916"/>
    <n v="0.2307692307692307"/>
    <n v="0"/>
    <n v="0"/>
    <n v="0"/>
    <n v="0"/>
    <n v="0"/>
    <n v="3"/>
    <n v="0"/>
    <n v="0"/>
    <n v="0"/>
    <n v="25"/>
    <n v="16"/>
    <n v="12"/>
    <n v="17.25"/>
    <n v="15.375"/>
    <n v="-0.48"/>
    <n v="8.3333333333333204E-2"/>
    <n v="13"/>
    <n v="23"/>
    <n v="17"/>
    <n v="69"/>
    <s v="1993"/>
    <n v="4"/>
  </r>
  <r>
    <n v="1"/>
    <d v="1994-03-31T00:00:00"/>
    <x v="1"/>
    <n v="23"/>
    <n v="23"/>
    <n v="0.95652173913043481"/>
    <n v="4.3478260869565202E-2"/>
    <n v="10.086956521739131"/>
    <n v="0.60869565217391308"/>
    <n v="0"/>
    <n v="0"/>
    <n v="0"/>
    <n v="1"/>
    <n v="0"/>
    <n v="11"/>
    <n v="1"/>
    <n v="0"/>
    <n v="1"/>
    <n v="13"/>
    <n v="25"/>
    <n v="15"/>
    <n v="19.25"/>
    <n v="16.875"/>
    <n v="0.76923076923076916"/>
    <n v="0.53333333333333344"/>
    <n v="23"/>
    <n v="22"/>
    <n v="18"/>
    <n v="103"/>
    <s v="1994"/>
    <n v="1"/>
  </r>
  <r>
    <n v="1"/>
    <d v="1994-06-30T00:00:00"/>
    <x v="1"/>
    <n v="22"/>
    <n v="22"/>
    <n v="0.77272727272727271"/>
    <n v="0.22727272727272721"/>
    <n v="7.1818181818181817"/>
    <n v="0.63636363636363635"/>
    <n v="0"/>
    <n v="0"/>
    <n v="0"/>
    <n v="0"/>
    <n v="0"/>
    <n v="9"/>
    <n v="4"/>
    <n v="0"/>
    <n v="1"/>
    <n v="23"/>
    <n v="13"/>
    <n v="16"/>
    <n v="20.75"/>
    <n v="18.125"/>
    <n v="-4.3478260869565098E-2"/>
    <n v="0.375"/>
    <n v="22"/>
    <n v="24"/>
    <n v="18"/>
    <n v="103"/>
    <s v="1994"/>
    <n v="2"/>
  </r>
  <r>
    <n v="1"/>
    <d v="1994-09-30T00:00:00"/>
    <x v="1"/>
    <n v="24"/>
    <n v="24"/>
    <n v="1"/>
    <n v="0"/>
    <n v="7.708333333333333"/>
    <n v="0.41666666666666669"/>
    <n v="0"/>
    <n v="0"/>
    <n v="0"/>
    <n v="0"/>
    <n v="0"/>
    <n v="8"/>
    <n v="2"/>
    <n v="0"/>
    <n v="0"/>
    <n v="22"/>
    <n v="23"/>
    <n v="25"/>
    <n v="20.5"/>
    <n v="18.75"/>
    <n v="9.0909090909090801E-2"/>
    <n v="-0.04"/>
    <n v="24"/>
    <n v="34"/>
    <n v="18"/>
    <n v="103"/>
    <s v="1994"/>
    <n v="3"/>
  </r>
  <r>
    <n v="1"/>
    <d v="1994-12-31T00:00:00"/>
    <x v="1"/>
    <n v="34"/>
    <n v="34"/>
    <n v="1"/>
    <n v="0"/>
    <n v="7.7352941176470589"/>
    <n v="0.5"/>
    <n v="0"/>
    <n v="0"/>
    <n v="0"/>
    <n v="0"/>
    <n v="0"/>
    <n v="14"/>
    <n v="2"/>
    <n v="0"/>
    <n v="1"/>
    <n v="24"/>
    <n v="22"/>
    <n v="13"/>
    <n v="25.75"/>
    <n v="21.5"/>
    <n v="0.41666666666666669"/>
    <n v="1.6153846153846154"/>
    <n v="34"/>
    <n v="27"/>
    <n v="18"/>
    <n v="103"/>
    <s v="1994"/>
    <n v="4"/>
  </r>
  <r>
    <n v="1"/>
    <d v="1995-03-31T00:00:00"/>
    <x v="1"/>
    <n v="27"/>
    <n v="27"/>
    <n v="0.85185185185185186"/>
    <n v="0.14814814814814811"/>
    <n v="7.5555555555555554"/>
    <n v="0.51851851851851849"/>
    <n v="0"/>
    <n v="0"/>
    <n v="0"/>
    <n v="1"/>
    <n v="0"/>
    <n v="10"/>
    <n v="1"/>
    <n v="1"/>
    <n v="1"/>
    <n v="34"/>
    <n v="24"/>
    <n v="23"/>
    <n v="26.75"/>
    <n v="23"/>
    <n v="-0.20588235294117649"/>
    <n v="0.17391304347826089"/>
    <n v="27"/>
    <n v="30"/>
    <n v="19"/>
    <n v="111"/>
    <s v="1995"/>
    <n v="1"/>
  </r>
  <r>
    <n v="1"/>
    <d v="1995-06-30T00:00:00"/>
    <x v="1"/>
    <n v="30"/>
    <n v="30"/>
    <n v="0.96666666666666679"/>
    <n v="3.3333333333333298E-2"/>
    <n v="8.8000000000000007"/>
    <n v="0.5"/>
    <n v="0"/>
    <n v="1"/>
    <n v="0"/>
    <n v="0"/>
    <n v="0"/>
    <n v="11"/>
    <n v="3"/>
    <n v="0"/>
    <n v="0"/>
    <n v="27"/>
    <n v="34"/>
    <n v="22"/>
    <n v="28.75"/>
    <n v="24.75"/>
    <n v="0.1111111111111111"/>
    <n v="0.36363636363636348"/>
    <n v="30"/>
    <n v="32"/>
    <n v="19"/>
    <n v="111"/>
    <s v="1995"/>
    <n v="2"/>
  </r>
  <r>
    <n v="1"/>
    <d v="1995-09-30T00:00:00"/>
    <x v="1"/>
    <n v="32"/>
    <n v="32"/>
    <n v="0.96875"/>
    <n v="3.125E-2"/>
    <n v="9.75"/>
    <n v="0.625"/>
    <n v="0"/>
    <n v="0"/>
    <n v="0"/>
    <n v="0"/>
    <n v="0"/>
    <n v="18"/>
    <n v="0"/>
    <n v="0"/>
    <n v="2"/>
    <n v="30"/>
    <n v="27"/>
    <n v="24"/>
    <n v="30.75"/>
    <n v="25.625"/>
    <n v="6.6666666666666596E-2"/>
    <n v="0.3333333333333332"/>
    <n v="32"/>
    <n v="22"/>
    <n v="19"/>
    <n v="111"/>
    <s v="1995"/>
    <n v="3"/>
  </r>
  <r>
    <n v="1"/>
    <d v="1995-12-31T00:00:00"/>
    <x v="1"/>
    <n v="22"/>
    <n v="22"/>
    <n v="1"/>
    <n v="0"/>
    <n v="8.5909090909090917"/>
    <n v="0.5"/>
    <n v="0"/>
    <n v="0"/>
    <n v="0"/>
    <n v="0"/>
    <n v="0"/>
    <n v="9"/>
    <n v="0"/>
    <n v="1"/>
    <n v="1"/>
    <n v="32"/>
    <n v="30"/>
    <n v="34"/>
    <n v="27.75"/>
    <n v="26.75"/>
    <n v="-0.3125"/>
    <n v="-0.3529411764705882"/>
    <n v="22"/>
    <n v="42"/>
    <n v="19"/>
    <n v="111"/>
    <s v="1995"/>
    <n v="4"/>
  </r>
  <r>
    <n v="1"/>
    <d v="1996-03-31T00:00:00"/>
    <x v="1"/>
    <n v="42"/>
    <n v="42"/>
    <n v="0.95238095238095244"/>
    <n v="4.7619047619047603E-2"/>
    <n v="10.071428571428571"/>
    <n v="0.69047619047619047"/>
    <n v="0"/>
    <n v="0"/>
    <n v="0"/>
    <n v="0"/>
    <n v="0"/>
    <n v="18"/>
    <n v="6"/>
    <n v="0"/>
    <n v="5"/>
    <n v="22"/>
    <n v="32"/>
    <n v="27"/>
    <n v="31.5"/>
    <n v="29.125"/>
    <n v="0.90909090909090917"/>
    <n v="0.55555555555555558"/>
    <n v="42"/>
    <n v="40"/>
    <n v="20"/>
    <n v="217"/>
    <s v="1996"/>
    <n v="1"/>
  </r>
  <r>
    <n v="1"/>
    <d v="1996-06-30T00:00:00"/>
    <x v="1"/>
    <n v="40"/>
    <n v="40"/>
    <n v="1"/>
    <n v="0"/>
    <n v="9.25"/>
    <n v="0.55000000000000004"/>
    <n v="0"/>
    <n v="1"/>
    <n v="0"/>
    <n v="0"/>
    <n v="0"/>
    <n v="17"/>
    <n v="0"/>
    <n v="0"/>
    <n v="4"/>
    <n v="42"/>
    <n v="22"/>
    <n v="30"/>
    <n v="34"/>
    <n v="31.375"/>
    <n v="-4.7619047619047603E-2"/>
    <n v="0.3333333333333332"/>
    <n v="40"/>
    <n v="65"/>
    <n v="20"/>
    <n v="217"/>
    <s v="1996"/>
    <n v="2"/>
  </r>
  <r>
    <n v="1"/>
    <d v="1996-09-30T00:00:00"/>
    <x v="1"/>
    <n v="65"/>
    <n v="65"/>
    <n v="1"/>
    <n v="0"/>
    <n v="10.030769230769231"/>
    <n v="0.63076923076923075"/>
    <n v="0"/>
    <n v="0"/>
    <n v="0"/>
    <n v="3"/>
    <n v="0"/>
    <n v="29"/>
    <n v="1"/>
    <n v="3"/>
    <n v="5"/>
    <n v="40"/>
    <n v="42"/>
    <n v="32"/>
    <n v="42.25"/>
    <n v="36.5"/>
    <n v="0.625"/>
    <n v="1.03125"/>
    <n v="65"/>
    <n v="70"/>
    <n v="20"/>
    <n v="217"/>
    <s v="1996"/>
    <n v="3"/>
  </r>
  <r>
    <n v="1"/>
    <d v="1996-12-31T00:00:00"/>
    <x v="1"/>
    <n v="70"/>
    <n v="70"/>
    <n v="1"/>
    <n v="0"/>
    <n v="9.0571428571428552"/>
    <n v="0.54285714285714282"/>
    <n v="0"/>
    <n v="1"/>
    <n v="0"/>
    <n v="0"/>
    <n v="0"/>
    <n v="26"/>
    <n v="5"/>
    <n v="2"/>
    <n v="4"/>
    <n v="65"/>
    <n v="40"/>
    <n v="22"/>
    <n v="54.25"/>
    <n v="41"/>
    <n v="7.6923076923076802E-2"/>
    <n v="2.1818181818181817"/>
    <n v="70"/>
    <n v="51"/>
    <n v="20"/>
    <n v="217"/>
    <s v="1996"/>
    <n v="4"/>
  </r>
  <r>
    <n v="1"/>
    <d v="1997-03-31T00:00:00"/>
    <x v="1"/>
    <n v="51"/>
    <n v="51"/>
    <n v="1"/>
    <n v="0"/>
    <n v="9.8039215686274517"/>
    <n v="0.58823529411764708"/>
    <n v="0"/>
    <n v="0"/>
    <n v="0"/>
    <n v="2"/>
    <n v="0"/>
    <n v="23"/>
    <n v="2"/>
    <n v="2"/>
    <n v="1"/>
    <n v="70"/>
    <n v="65"/>
    <n v="42"/>
    <n v="56.5"/>
    <n v="44"/>
    <n v="-0.27142857142857141"/>
    <n v="0.21428571428571419"/>
    <n v="51"/>
    <n v="48"/>
    <n v="21"/>
    <n v="195"/>
    <s v="1997"/>
    <n v="1"/>
  </r>
  <r>
    <n v="1"/>
    <d v="1997-06-30T00:00:00"/>
    <x v="1"/>
    <n v="48"/>
    <n v="48"/>
    <n v="1"/>
    <n v="0"/>
    <n v="8.0208333333333339"/>
    <n v="0.52083333333333337"/>
    <n v="0"/>
    <n v="0"/>
    <n v="1"/>
    <n v="0"/>
    <n v="1"/>
    <n v="13"/>
    <n v="4"/>
    <n v="0"/>
    <n v="6"/>
    <n v="51"/>
    <n v="70"/>
    <n v="40"/>
    <n v="58.5"/>
    <n v="46.25"/>
    <n v="-5.8823529411764698E-2"/>
    <n v="0.1999999999999999"/>
    <n v="48"/>
    <n v="46"/>
    <n v="21"/>
    <n v="195"/>
    <s v="1997"/>
    <n v="2"/>
  </r>
  <r>
    <n v="1"/>
    <d v="1997-09-30T00:00:00"/>
    <x v="1"/>
    <n v="46"/>
    <n v="46"/>
    <n v="0.91304347826086962"/>
    <n v="8.6956521739130405E-2"/>
    <n v="8.4347826086956523"/>
    <n v="0.28260869565217389"/>
    <n v="0"/>
    <n v="0"/>
    <n v="0"/>
    <n v="1"/>
    <n v="0"/>
    <n v="7"/>
    <n v="3"/>
    <n v="2"/>
    <n v="0"/>
    <n v="48"/>
    <n v="51"/>
    <n v="65"/>
    <n v="53.75"/>
    <n v="48"/>
    <n v="-4.1666666666666602E-2"/>
    <n v="-0.29230769230769221"/>
    <n v="46"/>
    <n v="50"/>
    <n v="21"/>
    <n v="195"/>
    <s v="1997"/>
    <n v="3"/>
  </r>
  <r>
    <n v="1"/>
    <d v="1997-12-31T00:00:00"/>
    <x v="1"/>
    <n v="50"/>
    <n v="50"/>
    <n v="0.94"/>
    <n v="0.06"/>
    <n v="8.2200000000000006"/>
    <n v="0.6"/>
    <n v="0"/>
    <n v="0"/>
    <n v="0"/>
    <n v="0"/>
    <n v="0"/>
    <n v="22"/>
    <n v="5"/>
    <n v="1"/>
    <n v="2"/>
    <n v="46"/>
    <n v="48"/>
    <n v="70"/>
    <n v="48.75"/>
    <n v="51.5"/>
    <n v="8.6956521739130294E-2"/>
    <n v="-0.2857142857142857"/>
    <n v="50"/>
    <n v="82"/>
    <n v="21"/>
    <n v="195"/>
    <s v="1997"/>
    <n v="4"/>
  </r>
  <r>
    <n v="1"/>
    <d v="1998-03-31T00:00:00"/>
    <x v="1"/>
    <n v="82"/>
    <n v="82"/>
    <n v="0.92682926829268297"/>
    <n v="7.3170731707316999E-2"/>
    <n v="8.2439024390243905"/>
    <n v="0.51219512195121952"/>
    <n v="0"/>
    <n v="0"/>
    <n v="2"/>
    <n v="1"/>
    <n v="0"/>
    <n v="19"/>
    <n v="11"/>
    <n v="4"/>
    <n v="5"/>
    <n v="50"/>
    <n v="46"/>
    <n v="51"/>
    <n v="56.5"/>
    <n v="56.5"/>
    <n v="0.6399999999999999"/>
    <n v="0.60784313725490202"/>
    <n v="82"/>
    <n v="110"/>
    <n v="22"/>
    <n v="444"/>
    <s v="1998"/>
    <n v="1"/>
  </r>
  <r>
    <n v="1"/>
    <d v="1998-06-30T00:00:00"/>
    <x v="1"/>
    <n v="110"/>
    <n v="110"/>
    <n v="0.97272727272727277"/>
    <n v="2.7272727272727199E-2"/>
    <n v="8.627272727272727"/>
    <n v="0.5"/>
    <n v="0"/>
    <n v="1"/>
    <n v="0"/>
    <n v="0"/>
    <n v="0"/>
    <n v="37"/>
    <n v="7"/>
    <n v="2"/>
    <n v="8"/>
    <n v="82"/>
    <n v="50"/>
    <n v="48"/>
    <n v="72"/>
    <n v="65.25"/>
    <n v="0.34146341463414642"/>
    <n v="1.2916666666666663"/>
    <n v="110"/>
    <n v="116"/>
    <n v="22"/>
    <n v="444"/>
    <s v="1998"/>
    <n v="2"/>
  </r>
  <r>
    <n v="1"/>
    <d v="1998-09-30T00:00:00"/>
    <x v="1"/>
    <n v="116"/>
    <n v="116"/>
    <n v="0.98275862068965525"/>
    <n v="1.72413793103448E-2"/>
    <n v="8.9913793103448274"/>
    <n v="0.5431034482758621"/>
    <n v="0"/>
    <n v="1"/>
    <n v="1"/>
    <n v="1"/>
    <n v="0"/>
    <n v="40"/>
    <n v="10"/>
    <n v="4"/>
    <n v="6"/>
    <n v="110"/>
    <n v="82"/>
    <n v="46"/>
    <n v="89.5"/>
    <n v="71.625"/>
    <n v="5.4545454545454397E-2"/>
    <n v="1.5217391304347827"/>
    <n v="116"/>
    <n v="136"/>
    <n v="22"/>
    <n v="444"/>
    <s v="1998"/>
    <n v="3"/>
  </r>
  <r>
    <n v="1"/>
    <d v="1998-12-31T00:00:00"/>
    <x v="1"/>
    <n v="136"/>
    <n v="136"/>
    <n v="0.8970588235294118"/>
    <n v="9.5588235294117599E-2"/>
    <n v="8.7132352941176467"/>
    <n v="0.5220588235294118"/>
    <n v="0"/>
    <n v="0"/>
    <n v="1"/>
    <n v="1"/>
    <n v="0"/>
    <n v="40"/>
    <n v="14"/>
    <n v="6"/>
    <n v="9"/>
    <n v="116"/>
    <n v="110"/>
    <n v="50"/>
    <n v="111"/>
    <n v="79.875"/>
    <n v="0.17241379310344809"/>
    <n v="1.7200000000000002"/>
    <n v="136"/>
    <n v="131"/>
    <n v="22"/>
    <n v="444"/>
    <s v="1998"/>
    <n v="4"/>
  </r>
  <r>
    <n v="1"/>
    <d v="1999-03-31T00:00:00"/>
    <x v="1"/>
    <n v="131"/>
    <n v="131"/>
    <n v="0.91603053435114501"/>
    <n v="6.8702290076335798E-2"/>
    <n v="8.9541984732824424"/>
    <n v="0.62595419847328249"/>
    <n v="0"/>
    <n v="2"/>
    <n v="1"/>
    <n v="1"/>
    <n v="2"/>
    <n v="59"/>
    <n v="9"/>
    <n v="3"/>
    <n v="5"/>
    <n v="136"/>
    <n v="116"/>
    <n v="82"/>
    <n v="123.25"/>
    <n v="89.875"/>
    <n v="-3.6764705882352901E-2"/>
    <n v="0.59756097560975618"/>
    <n v="131"/>
    <n v="115"/>
    <n v="23"/>
    <n v="688"/>
    <s v="1999"/>
    <n v="1"/>
  </r>
  <r>
    <n v="1"/>
    <d v="1999-06-30T00:00:00"/>
    <x v="1"/>
    <n v="115"/>
    <n v="115"/>
    <n v="0.95652173913043481"/>
    <n v="4.3478260869565202E-2"/>
    <n v="8.3826086956521735"/>
    <n v="0.57391304347826089"/>
    <n v="0"/>
    <n v="0"/>
    <n v="1"/>
    <n v="0"/>
    <n v="0"/>
    <n v="39"/>
    <n v="5"/>
    <n v="11"/>
    <n v="10"/>
    <n v="131"/>
    <n v="136"/>
    <n v="110"/>
    <n v="124.5"/>
    <n v="98.25"/>
    <n v="-0.1221374045801526"/>
    <n v="4.54545454545454E-2"/>
    <n v="115"/>
    <n v="207"/>
    <n v="23"/>
    <n v="688"/>
    <s v="1999"/>
    <n v="2"/>
  </r>
  <r>
    <n v="1"/>
    <d v="1999-09-30T00:00:00"/>
    <x v="1"/>
    <n v="207"/>
    <n v="207"/>
    <n v="0.96618357487922701"/>
    <n v="3.3816425120772903E-2"/>
    <n v="9.1980676328502415"/>
    <n v="0.52657004830917875"/>
    <n v="0"/>
    <n v="0"/>
    <n v="0"/>
    <n v="0"/>
    <n v="0"/>
    <n v="78"/>
    <n v="8"/>
    <n v="10"/>
    <n v="13"/>
    <n v="115"/>
    <n v="131"/>
    <n v="116"/>
    <n v="147.25"/>
    <n v="118.375"/>
    <n v="0.8"/>
    <n v="0.78448275862068972"/>
    <n v="207"/>
    <n v="235"/>
    <n v="23"/>
    <n v="688"/>
    <s v="1999"/>
    <n v="3"/>
  </r>
  <r>
    <n v="1"/>
    <d v="1999-12-31T00:00:00"/>
    <x v="1"/>
    <n v="235"/>
    <n v="235"/>
    <n v="0.97872340425531923"/>
    <n v="2.1276595744680799E-2"/>
    <n v="8.8936170212765955"/>
    <n v="0.58723404255319145"/>
    <n v="0"/>
    <n v="0"/>
    <n v="2"/>
    <n v="1"/>
    <n v="1"/>
    <n v="86"/>
    <n v="13"/>
    <n v="18"/>
    <n v="17"/>
    <n v="207"/>
    <n v="115"/>
    <n v="136"/>
    <n v="172"/>
    <n v="141.5"/>
    <n v="0.13526570048309169"/>
    <n v="0.72794117647058831"/>
    <n v="235"/>
    <n v="176"/>
    <n v="23"/>
    <n v="688"/>
    <s v="1999"/>
    <n v="4"/>
  </r>
  <r>
    <n v="1"/>
    <d v="2000-03-31T00:00:00"/>
    <x v="2"/>
    <n v="176"/>
    <n v="176"/>
    <n v="0.95454545454545459"/>
    <n v="4.54545454545454E-2"/>
    <n v="9.1590909090909083"/>
    <n v="0.56818181818181823"/>
    <n v="0"/>
    <n v="2"/>
    <n v="0"/>
    <n v="0"/>
    <n v="0"/>
    <n v="60"/>
    <n v="14"/>
    <n v="15"/>
    <n v="9"/>
    <n v="235"/>
    <n v="207"/>
    <n v="131"/>
    <n v="183.25"/>
    <n v="153.25"/>
    <n v="-0.25106382978723402"/>
    <n v="0.34351145038167941"/>
    <n v="176"/>
    <n v="195"/>
    <n v="24"/>
    <n v="824"/>
    <s v="2000"/>
    <n v="1"/>
  </r>
  <r>
    <n v="1"/>
    <d v="2000-06-30T00:00:00"/>
    <x v="2"/>
    <n v="195"/>
    <n v="195"/>
    <n v="0.90769230769230758"/>
    <n v="9.2307692307692299E-2"/>
    <n v="8.815384615384616"/>
    <n v="0.53333333333333333"/>
    <n v="0"/>
    <n v="0"/>
    <n v="0"/>
    <n v="1"/>
    <n v="0"/>
    <n v="65"/>
    <n v="14"/>
    <n v="15"/>
    <n v="9"/>
    <n v="176"/>
    <n v="235"/>
    <n v="115"/>
    <n v="203.25"/>
    <n v="163.875"/>
    <n v="0.1079545454545454"/>
    <n v="0.69565217391304346"/>
    <n v="195"/>
    <n v="229"/>
    <n v="24"/>
    <n v="824"/>
    <s v="2000"/>
    <n v="2"/>
  </r>
  <r>
    <n v="1"/>
    <d v="2000-09-30T00:00:00"/>
    <x v="2"/>
    <n v="229"/>
    <n v="229"/>
    <n v="0.95633187772925765"/>
    <n v="4.36681222707423E-2"/>
    <n v="8.3755458515283845"/>
    <n v="0.50655021834061131"/>
    <n v="0"/>
    <n v="0"/>
    <n v="1"/>
    <n v="0"/>
    <n v="1"/>
    <n v="77"/>
    <n v="10"/>
    <n v="15"/>
    <n v="12"/>
    <n v="195"/>
    <n v="176"/>
    <n v="207"/>
    <n v="208.75"/>
    <n v="178"/>
    <n v="0.17435897435897441"/>
    <n v="0.106280193236715"/>
    <n v="229"/>
    <n v="224"/>
    <n v="24"/>
    <n v="824"/>
    <s v="2000"/>
    <n v="3"/>
  </r>
  <r>
    <n v="1"/>
    <d v="2000-12-31T00:00:00"/>
    <x v="2"/>
    <n v="224"/>
    <n v="224"/>
    <n v="0.9464285714285714"/>
    <n v="5.3571428571428499E-2"/>
    <n v="8.6160714285714288"/>
    <n v="0.48660714285714279"/>
    <n v="0"/>
    <n v="0"/>
    <n v="0"/>
    <n v="0"/>
    <n v="0"/>
    <n v="71"/>
    <n v="12"/>
    <n v="12"/>
    <n v="14"/>
    <n v="229"/>
    <n v="195"/>
    <n v="235"/>
    <n v="206"/>
    <n v="189"/>
    <n v="-2.1834061135371199E-2"/>
    <n v="-4.6808510638297801E-2"/>
    <n v="224"/>
    <n v="210"/>
    <n v="24"/>
    <n v="824"/>
    <s v="2000"/>
    <n v="4"/>
  </r>
  <r>
    <n v="1"/>
    <d v="2001-03-31T00:00:00"/>
    <x v="2"/>
    <n v="210"/>
    <n v="210"/>
    <n v="0.97619047619047616"/>
    <n v="2.3809523809523801E-2"/>
    <n v="9.1285714285714281"/>
    <n v="0.5"/>
    <n v="0"/>
    <n v="0"/>
    <n v="3"/>
    <n v="0"/>
    <n v="0"/>
    <n v="62"/>
    <n v="18"/>
    <n v="11"/>
    <n v="11"/>
    <n v="224"/>
    <n v="229"/>
    <n v="176"/>
    <n v="214.5"/>
    <n v="198.875"/>
    <n v="-6.25E-2"/>
    <n v="0.19318181818181809"/>
    <n v="210"/>
    <n v="216"/>
    <n v="25"/>
    <n v="797"/>
    <s v="2001"/>
    <n v="1"/>
  </r>
  <r>
    <n v="1"/>
    <d v="2001-06-30T00:00:00"/>
    <x v="2"/>
    <n v="216"/>
    <n v="216"/>
    <n v="0.97222222222222221"/>
    <n v="2.3148148148148098E-2"/>
    <n v="8.7916666666666661"/>
    <n v="0.52777777777777779"/>
    <n v="0"/>
    <n v="0"/>
    <n v="0"/>
    <n v="1"/>
    <n v="0"/>
    <n v="71"/>
    <n v="9"/>
    <n v="12"/>
    <n v="21"/>
    <n v="210"/>
    <n v="224"/>
    <n v="195"/>
    <n v="219.75"/>
    <n v="211.5"/>
    <n v="2.8571428571428401E-2"/>
    <n v="0.1076923076923077"/>
    <n v="216"/>
    <n v="192"/>
    <n v="25"/>
    <n v="797"/>
    <s v="2001"/>
    <n v="2"/>
  </r>
  <r>
    <n v="1"/>
    <d v="2001-09-30T00:00:00"/>
    <x v="2"/>
    <n v="192"/>
    <n v="192"/>
    <n v="0.97916666666666663"/>
    <n v="1.5625E-2"/>
    <n v="8.5885416666666661"/>
    <n v="0.52604166666666663"/>
    <n v="0"/>
    <n v="0"/>
    <n v="0"/>
    <n v="0"/>
    <n v="0"/>
    <n v="62"/>
    <n v="13"/>
    <n v="11"/>
    <n v="15"/>
    <n v="216"/>
    <n v="210"/>
    <n v="229"/>
    <n v="210.5"/>
    <n v="209.625"/>
    <n v="-0.1111111111111111"/>
    <n v="-0.16157205240174671"/>
    <n v="192"/>
    <n v="179"/>
    <n v="25"/>
    <n v="797"/>
    <s v="2001"/>
    <n v="3"/>
  </r>
  <r>
    <n v="1"/>
    <d v="2001-12-31T00:00:00"/>
    <x v="2"/>
    <n v="179"/>
    <n v="179"/>
    <n v="0.97765363128491622"/>
    <n v="2.23463687150838E-2"/>
    <n v="8.1173184357541892"/>
    <n v="0.47486033519553073"/>
    <n v="0"/>
    <n v="0"/>
    <n v="1"/>
    <n v="1"/>
    <n v="2"/>
    <n v="47"/>
    <n v="14"/>
    <n v="12"/>
    <n v="8"/>
    <n v="192"/>
    <n v="216"/>
    <n v="224"/>
    <n v="199.25"/>
    <n v="202.625"/>
    <n v="-6.7708333333333301E-2"/>
    <n v="-0.2008928571428571"/>
    <n v="179"/>
    <n v="148"/>
    <n v="25"/>
    <n v="797"/>
    <s v="2001"/>
    <n v="4"/>
  </r>
  <r>
    <n v="1"/>
    <d v="2002-03-31T00:00:00"/>
    <x v="2"/>
    <n v="148"/>
    <n v="148"/>
    <n v="0.97297297297297303"/>
    <n v="2.7027027027027001E-2"/>
    <n v="7.8581081081081079"/>
    <n v="0.47972972972972971"/>
    <n v="0"/>
    <n v="1"/>
    <n v="0"/>
    <n v="0"/>
    <n v="0"/>
    <n v="44"/>
    <n v="9"/>
    <n v="10"/>
    <n v="7"/>
    <n v="179"/>
    <n v="192"/>
    <n v="210"/>
    <n v="183.75"/>
    <n v="199.125"/>
    <n v="-0.1731843575418994"/>
    <n v="-0.29523809523809519"/>
    <n v="148"/>
    <n v="220"/>
    <n v="26"/>
    <n v="781"/>
    <s v="2002"/>
    <n v="1"/>
  </r>
  <r>
    <n v="1"/>
    <d v="2002-06-30T00:00:00"/>
    <x v="2"/>
    <n v="220"/>
    <n v="220"/>
    <n v="0.98181818181818181"/>
    <n v="9.0909090909090003E-3"/>
    <n v="9.3090909090909086"/>
    <n v="0.53181818181818186"/>
    <n v="0"/>
    <n v="1"/>
    <n v="2"/>
    <n v="0"/>
    <n v="1"/>
    <n v="76"/>
    <n v="17"/>
    <n v="9"/>
    <n v="11"/>
    <n v="148"/>
    <n v="179"/>
    <n v="216"/>
    <n v="184.75"/>
    <n v="202.25"/>
    <n v="0.4864864864864864"/>
    <n v="1.8518518518518601E-2"/>
    <n v="220"/>
    <n v="202"/>
    <n v="26"/>
    <n v="781"/>
    <s v="2002"/>
    <n v="2"/>
  </r>
  <r>
    <n v="1"/>
    <d v="2002-09-30T00:00:00"/>
    <x v="2"/>
    <n v="202"/>
    <n v="202"/>
    <n v="0.96039603960396036"/>
    <n v="3.4653465346534601E-2"/>
    <n v="8.5396039603960396"/>
    <n v="0.52970297029702973"/>
    <n v="0"/>
    <n v="1"/>
    <n v="3"/>
    <n v="3"/>
    <n v="2"/>
    <n v="61"/>
    <n v="18"/>
    <n v="8"/>
    <n v="11"/>
    <n v="220"/>
    <n v="148"/>
    <n v="192"/>
    <n v="187.25"/>
    <n v="198.875"/>
    <n v="-8.1818181818181707E-2"/>
    <n v="5.2083333333333197E-2"/>
    <n v="202"/>
    <n v="211"/>
    <n v="26"/>
    <n v="781"/>
    <s v="2002"/>
    <n v="3"/>
  </r>
  <r>
    <n v="1"/>
    <d v="2002-12-31T00:00:00"/>
    <x v="2"/>
    <n v="211"/>
    <n v="211"/>
    <n v="1"/>
    <n v="0"/>
    <n v="9.0995260663507107"/>
    <n v="0.52606635071090047"/>
    <n v="0"/>
    <n v="0"/>
    <n v="1"/>
    <n v="0"/>
    <n v="0"/>
    <n v="73"/>
    <n v="19"/>
    <n v="5"/>
    <n v="13"/>
    <n v="202"/>
    <n v="220"/>
    <n v="179"/>
    <n v="195.25"/>
    <n v="197.25"/>
    <n v="4.4554455445544497E-2"/>
    <n v="0.1787709497206704"/>
    <n v="211"/>
    <n v="159"/>
    <n v="26"/>
    <n v="781"/>
    <s v="2002"/>
    <n v="4"/>
  </r>
  <r>
    <n v="1"/>
    <d v="2003-03-31T00:00:00"/>
    <x v="2"/>
    <n v="159"/>
    <n v="159"/>
    <n v="0.99371069182389937"/>
    <n v="6.2893081761005998E-3"/>
    <n v="8.7547169811320753"/>
    <n v="0.5911949685534591"/>
    <n v="0"/>
    <n v="1"/>
    <n v="1"/>
    <n v="1"/>
    <n v="0"/>
    <n v="60"/>
    <n v="13"/>
    <n v="8"/>
    <n v="10"/>
    <n v="211"/>
    <n v="202"/>
    <n v="148"/>
    <n v="198"/>
    <n v="190.875"/>
    <n v="-0.24644549763033169"/>
    <n v="7.4324324324324301E-2"/>
    <n v="159"/>
    <n v="187"/>
    <n v="27"/>
    <n v="663"/>
    <s v="2003"/>
    <n v="1"/>
  </r>
  <r>
    <n v="1"/>
    <d v="2003-06-30T00:00:00"/>
    <x v="2"/>
    <n v="187"/>
    <n v="187"/>
    <n v="1"/>
    <n v="0"/>
    <n v="8.7860962566844911"/>
    <n v="0.52941176470588236"/>
    <n v="0"/>
    <n v="0"/>
    <n v="1"/>
    <n v="0"/>
    <n v="1"/>
    <n v="68"/>
    <n v="11"/>
    <n v="7"/>
    <n v="11"/>
    <n v="159"/>
    <n v="211"/>
    <n v="220"/>
    <n v="189.75"/>
    <n v="187.25"/>
    <n v="0.17610062893081749"/>
    <n v="-0.15"/>
    <n v="187"/>
    <n v="191"/>
    <n v="27"/>
    <n v="663"/>
    <s v="2003"/>
    <n v="2"/>
  </r>
  <r>
    <n v="1"/>
    <d v="2003-09-30T00:00:00"/>
    <x v="2"/>
    <n v="191"/>
    <n v="191"/>
    <n v="0.97905759162303663"/>
    <n v="2.09424083769633E-2"/>
    <n v="9.4345549738219887"/>
    <n v="0.54450261780104714"/>
    <n v="0"/>
    <n v="1"/>
    <n v="3"/>
    <n v="1"/>
    <n v="0"/>
    <n v="70"/>
    <n v="10"/>
    <n v="4"/>
    <n v="15"/>
    <n v="187"/>
    <n v="159"/>
    <n v="202"/>
    <n v="187"/>
    <n v="187.125"/>
    <n v="2.1390374331550801E-2"/>
    <n v="-5.4455445544554497E-2"/>
    <n v="191"/>
    <n v="126"/>
    <n v="27"/>
    <n v="663"/>
    <s v="2003"/>
    <n v="3"/>
  </r>
  <r>
    <n v="1"/>
    <d v="2003-12-31T00:00:00"/>
    <x v="2"/>
    <n v="126"/>
    <n v="126"/>
    <n v="0.99206349206349198"/>
    <n v="7.9365079365078996E-3"/>
    <n v="8.674603174603174"/>
    <n v="0.53968253968253965"/>
    <n v="0"/>
    <n v="0"/>
    <n v="1"/>
    <n v="1"/>
    <n v="1"/>
    <n v="40"/>
    <n v="9"/>
    <n v="4"/>
    <n v="12"/>
    <n v="191"/>
    <n v="187"/>
    <n v="211"/>
    <n v="165.75"/>
    <n v="180.5"/>
    <n v="-0.34031413612565442"/>
    <n v="-0.40284360189573459"/>
    <n v="126"/>
    <n v="136"/>
    <n v="27"/>
    <n v="663"/>
    <s v="2003"/>
    <n v="4"/>
  </r>
  <r>
    <n v="1"/>
    <d v="2004-03-31T00:00:00"/>
    <x v="2"/>
    <n v="136"/>
    <n v="136"/>
    <n v="0.98529411764705876"/>
    <n v="1.47058823529411E-2"/>
    <n v="9.6691176470588243"/>
    <n v="0.53676470588235292"/>
    <n v="0"/>
    <n v="0"/>
    <n v="4"/>
    <n v="1"/>
    <n v="0"/>
    <n v="45"/>
    <n v="11"/>
    <n v="5"/>
    <n v="7"/>
    <n v="126"/>
    <n v="191"/>
    <n v="159"/>
    <n v="160"/>
    <n v="179"/>
    <n v="7.9365079365079305E-2"/>
    <n v="-0.14465408805031441"/>
    <n v="136"/>
    <n v="145"/>
    <n v="28"/>
    <n v="513"/>
    <s v="2004"/>
    <n v="1"/>
  </r>
  <r>
    <n v="1"/>
    <d v="2004-06-30T00:00:00"/>
    <x v="2"/>
    <n v="145"/>
    <n v="145"/>
    <n v="0.99310344827586206"/>
    <n v="6.8965517241378997E-3"/>
    <n v="8.9034482758620683"/>
    <n v="0.6"/>
    <n v="0"/>
    <n v="0"/>
    <n v="4"/>
    <n v="1"/>
    <n v="0"/>
    <n v="53"/>
    <n v="6"/>
    <n v="2"/>
    <n v="21"/>
    <n v="136"/>
    <n v="126"/>
    <n v="187"/>
    <n v="149.5"/>
    <n v="169.625"/>
    <n v="6.6176470588235198E-2"/>
    <n v="-0.2245989304812834"/>
    <n v="145"/>
    <n v="125"/>
    <n v="28"/>
    <n v="513"/>
    <s v="2004"/>
    <n v="2"/>
  </r>
  <r>
    <n v="1"/>
    <d v="2004-09-30T00:00:00"/>
    <x v="2"/>
    <n v="125"/>
    <n v="125"/>
    <n v="0.97599999999999998"/>
    <n v="2.4E-2"/>
    <n v="8.6319999999999997"/>
    <n v="0.496"/>
    <n v="0"/>
    <n v="0"/>
    <n v="0"/>
    <n v="3"/>
    <n v="0"/>
    <n v="49"/>
    <n v="5"/>
    <n v="1"/>
    <n v="4"/>
    <n v="145"/>
    <n v="136"/>
    <n v="191"/>
    <n v="133"/>
    <n v="160"/>
    <n v="-0.13793103448275859"/>
    <n v="-0.34554973821989532"/>
    <n v="125"/>
    <n v="107"/>
    <n v="28"/>
    <n v="513"/>
    <s v="2004"/>
    <n v="3"/>
  </r>
  <r>
    <n v="1"/>
    <d v="2004-12-31T00:00:00"/>
    <x v="2"/>
    <n v="107"/>
    <n v="107"/>
    <n v="0.99065420560747663"/>
    <n v="9.3457943925232996E-3"/>
    <n v="8.8598130841121492"/>
    <n v="0.58878504672897192"/>
    <n v="0"/>
    <n v="0"/>
    <n v="0"/>
    <n v="2"/>
    <n v="0"/>
    <n v="42"/>
    <n v="6"/>
    <n v="4"/>
    <n v="9"/>
    <n v="125"/>
    <n v="145"/>
    <n v="126"/>
    <n v="128.25"/>
    <n v="147"/>
    <n v="-0.14399999999999999"/>
    <n v="-0.15079365079365081"/>
    <n v="107"/>
    <n v="91"/>
    <n v="28"/>
    <n v="513"/>
    <s v="2004"/>
    <n v="4"/>
  </r>
  <r>
    <n v="1"/>
    <d v="2005-03-31T00:00:00"/>
    <x v="2"/>
    <n v="91"/>
    <n v="91"/>
    <n v="0.97802197802197799"/>
    <n v="2.19780219780219E-2"/>
    <n v="9.8241758241758248"/>
    <n v="0.48351648351648352"/>
    <n v="0"/>
    <n v="1"/>
    <n v="2"/>
    <n v="1"/>
    <n v="0"/>
    <n v="29"/>
    <n v="2"/>
    <n v="2"/>
    <n v="7"/>
    <n v="107"/>
    <n v="125"/>
    <n v="136"/>
    <n v="117"/>
    <n v="138.5"/>
    <n v="-0.14953271028037379"/>
    <n v="-0.33088235294117652"/>
    <n v="91"/>
    <n v="101"/>
    <n v="29"/>
    <n v="414"/>
    <s v="2005"/>
    <n v="1"/>
  </r>
  <r>
    <n v="1"/>
    <d v="2005-06-30T00:00:00"/>
    <x v="2"/>
    <n v="101"/>
    <n v="101"/>
    <n v="0.97029702970297038"/>
    <n v="2.9702970297029702E-2"/>
    <n v="9.1485148514851478"/>
    <n v="0.5643564356435643"/>
    <n v="0"/>
    <n v="0"/>
    <n v="0"/>
    <n v="1"/>
    <n v="0"/>
    <n v="35"/>
    <n v="8"/>
    <n v="6"/>
    <n v="7"/>
    <n v="91"/>
    <n v="107"/>
    <n v="145"/>
    <n v="106"/>
    <n v="127.75"/>
    <n v="0.1098901098901099"/>
    <n v="-0.30344827586206902"/>
    <n v="101"/>
    <n v="122"/>
    <n v="29"/>
    <n v="414"/>
    <s v="2005"/>
    <n v="2"/>
  </r>
  <r>
    <n v="1"/>
    <d v="2005-09-30T00:00:00"/>
    <x v="2"/>
    <n v="122"/>
    <n v="122"/>
    <n v="0.98360655737704916"/>
    <n v="1.63934426229508E-2"/>
    <n v="9.2377049180327884"/>
    <n v="0.59836065573770492"/>
    <n v="0"/>
    <n v="0"/>
    <n v="1"/>
    <n v="2"/>
    <n v="0"/>
    <n v="49"/>
    <n v="3"/>
    <n v="6"/>
    <n v="12"/>
    <n v="101"/>
    <n v="91"/>
    <n v="125"/>
    <n v="105.25"/>
    <n v="119.125"/>
    <n v="0.2079207920792078"/>
    <n v="-2.4E-2"/>
    <n v="122"/>
    <n v="100"/>
    <n v="29"/>
    <n v="414"/>
    <s v="2005"/>
    <n v="3"/>
  </r>
  <r>
    <n v="1"/>
    <d v="2005-12-31T00:00:00"/>
    <x v="2"/>
    <n v="100"/>
    <n v="100"/>
    <n v="0.97"/>
    <n v="0.03"/>
    <n v="8.5"/>
    <n v="0.61"/>
    <n v="0"/>
    <n v="0"/>
    <n v="1"/>
    <n v="1"/>
    <n v="0"/>
    <n v="40"/>
    <n v="7"/>
    <n v="3"/>
    <n v="9"/>
    <n v="122"/>
    <n v="101"/>
    <n v="107"/>
    <n v="103.5"/>
    <n v="115.875"/>
    <n v="-0.18032786885245899"/>
    <n v="-6.5420560747663503E-2"/>
    <n v="100"/>
    <n v="101"/>
    <n v="29"/>
    <n v="414"/>
    <s v="2005"/>
    <n v="4"/>
  </r>
  <r>
    <n v="1"/>
    <d v="2006-03-31T00:00:00"/>
    <x v="2"/>
    <n v="101"/>
    <n v="101"/>
    <n v="0.92079207920792083"/>
    <n v="7.9207920792079195E-2"/>
    <n v="8.3564356435643568"/>
    <n v="0.57425742574257421"/>
    <n v="0"/>
    <n v="0"/>
    <n v="2"/>
    <n v="3"/>
    <n v="0"/>
    <n v="45"/>
    <n v="1"/>
    <n v="4"/>
    <n v="3"/>
    <n v="100"/>
    <n v="122"/>
    <n v="91"/>
    <n v="106"/>
    <n v="111.5"/>
    <n v="0.01"/>
    <n v="0.1098901098901099"/>
    <n v="101"/>
    <n v="160"/>
    <n v="30"/>
    <n v="468"/>
    <s v="2006"/>
    <n v="1"/>
  </r>
  <r>
    <n v="1"/>
    <d v="2006-06-30T00:00:00"/>
    <x v="2"/>
    <n v="160"/>
    <n v="160"/>
    <n v="0.99375000000000002"/>
    <n v="6.2500000000000003E-3"/>
    <n v="9.2687500000000007"/>
    <n v="0.49375000000000002"/>
    <n v="0"/>
    <n v="0"/>
    <n v="0"/>
    <n v="2"/>
    <n v="0"/>
    <n v="56"/>
    <n v="4"/>
    <n v="8"/>
    <n v="9"/>
    <n v="101"/>
    <n v="100"/>
    <n v="101"/>
    <n v="120.75"/>
    <n v="113.375"/>
    <n v="0.58415841584158423"/>
    <n v="0.58415841584158423"/>
    <n v="160"/>
    <n v="111"/>
    <n v="30"/>
    <n v="468"/>
    <s v="2006"/>
    <n v="2"/>
  </r>
  <r>
    <n v="1"/>
    <d v="2006-09-30T00:00:00"/>
    <x v="2"/>
    <n v="111"/>
    <n v="111"/>
    <n v="0.97297297297297303"/>
    <n v="2.7027027027027001E-2"/>
    <n v="8.2882882882882889"/>
    <n v="0.6216216216216216"/>
    <n v="0"/>
    <n v="1"/>
    <n v="0"/>
    <n v="3"/>
    <n v="0"/>
    <n v="44"/>
    <n v="6"/>
    <n v="5"/>
    <n v="10"/>
    <n v="160"/>
    <n v="101"/>
    <n v="122"/>
    <n v="118"/>
    <n v="111.625"/>
    <n v="-0.30625000000000002"/>
    <n v="-9.0163934426229497E-2"/>
    <n v="111"/>
    <n v="96"/>
    <n v="30"/>
    <n v="468"/>
    <s v="2006"/>
    <n v="3"/>
  </r>
  <r>
    <n v="1"/>
    <d v="2006-12-31T00:00:00"/>
    <x v="2"/>
    <n v="96"/>
    <n v="96"/>
    <n v="0.98958333333333337"/>
    <n v="1.04166666666666E-2"/>
    <n v="8.7291666666666661"/>
    <n v="0.58333333333333337"/>
    <n v="0"/>
    <n v="0"/>
    <n v="1"/>
    <n v="1"/>
    <n v="0"/>
    <n v="33"/>
    <n v="8"/>
    <n v="4"/>
    <n v="9"/>
    <n v="111"/>
    <n v="160"/>
    <n v="100"/>
    <n v="117"/>
    <n v="110.25"/>
    <n v="-0.13513513513513509"/>
    <n v="-0.04"/>
    <n v="96"/>
    <n v="103"/>
    <n v="30"/>
    <n v="468"/>
    <s v="2006"/>
    <n v="4"/>
  </r>
  <r>
    <n v="1"/>
    <d v="2007-03-31T00:00:00"/>
    <x v="2"/>
    <n v="103"/>
    <n v="103"/>
    <n v="0.98058252427184478"/>
    <n v="1.94174757281553E-2"/>
    <n v="8.5631067961165055"/>
    <n v="0.59223300970873782"/>
    <n v="0"/>
    <n v="0"/>
    <n v="1"/>
    <n v="3"/>
    <n v="1"/>
    <n v="38"/>
    <n v="5"/>
    <n v="3"/>
    <n v="10"/>
    <n v="96"/>
    <n v="111"/>
    <n v="101"/>
    <n v="117.5"/>
    <n v="111.75"/>
    <n v="7.2916666666666699E-2"/>
    <n v="1.9801980198019799E-2"/>
    <n v="103"/>
    <n v="98"/>
    <n v="31"/>
    <n v="384"/>
    <s v="2007"/>
    <n v="1"/>
  </r>
  <r>
    <n v="1"/>
    <d v="2007-06-30T00:00:00"/>
    <x v="2"/>
    <n v="98"/>
    <n v="98"/>
    <n v="0.9591836734693876"/>
    <n v="4.08163265306122E-2"/>
    <n v="8.204081632653061"/>
    <n v="0.44897959183673469"/>
    <n v="0"/>
    <n v="0"/>
    <n v="0"/>
    <n v="0"/>
    <n v="0"/>
    <n v="29"/>
    <n v="6"/>
    <n v="2"/>
    <n v="7"/>
    <n v="103"/>
    <n v="96"/>
    <n v="160"/>
    <n v="102"/>
    <n v="111.375"/>
    <n v="-4.85436893203883E-2"/>
    <n v="-0.3874999999999999"/>
    <n v="98"/>
    <n v="91"/>
    <n v="31"/>
    <n v="384"/>
    <s v="2007"/>
    <n v="2"/>
  </r>
  <r>
    <n v="1"/>
    <d v="2007-09-30T00:00:00"/>
    <x v="2"/>
    <n v="91"/>
    <n v="91"/>
    <n v="0.97802197802197799"/>
    <n v="2.19780219780219E-2"/>
    <n v="8.9670329670329672"/>
    <n v="0.49450549450549453"/>
    <n v="0"/>
    <n v="0"/>
    <n v="2"/>
    <n v="2"/>
    <n v="0"/>
    <n v="22"/>
    <n v="8"/>
    <n v="5"/>
    <n v="6"/>
    <n v="98"/>
    <n v="103"/>
    <n v="111"/>
    <n v="97"/>
    <n v="107.5"/>
    <n v="-7.1428571428571397E-2"/>
    <n v="-0.1801801801801802"/>
    <n v="91"/>
    <n v="92"/>
    <n v="31"/>
    <n v="384"/>
    <s v="2007"/>
    <n v="3"/>
  </r>
  <r>
    <n v="1"/>
    <d v="2007-12-31T00:00:00"/>
    <x v="2"/>
    <n v="92"/>
    <n v="92"/>
    <n v="0.91304347826086962"/>
    <n v="8.6956521739130405E-2"/>
    <n v="8.4673913043478262"/>
    <n v="0.53260869565217395"/>
    <n v="0"/>
    <n v="0"/>
    <n v="1"/>
    <n v="2"/>
    <n v="0"/>
    <n v="29"/>
    <n v="7"/>
    <n v="2"/>
    <n v="8"/>
    <n v="91"/>
    <n v="98"/>
    <n v="96"/>
    <n v="96"/>
    <n v="106.5"/>
    <n v="1.09890109890109E-2"/>
    <n v="-4.1666666666666602E-2"/>
    <n v="92"/>
    <n v="92"/>
    <n v="31"/>
    <n v="384"/>
    <s v="2007"/>
    <n v="4"/>
  </r>
  <r>
    <n v="1"/>
    <d v="2008-03-31T00:00:00"/>
    <x v="2"/>
    <n v="92"/>
    <n v="92"/>
    <n v="0.96739130434782605"/>
    <n v="2.1739130434782601E-2"/>
    <n v="8.054347826086957"/>
    <n v="0.55434782608695654"/>
    <n v="0"/>
    <n v="0"/>
    <n v="1"/>
    <n v="1"/>
    <n v="0"/>
    <n v="34"/>
    <n v="4"/>
    <n v="9"/>
    <n v="2"/>
    <n v="92"/>
    <n v="91"/>
    <n v="103"/>
    <n v="93.25"/>
    <n v="105.375"/>
    <n v="0"/>
    <n v="-0.10679611650485429"/>
    <n v="92"/>
    <n v="109"/>
    <n v="32"/>
    <n v="411"/>
    <s v="2008"/>
    <n v="1"/>
  </r>
  <r>
    <n v="1"/>
    <d v="2008-06-30T00:00:00"/>
    <x v="2"/>
    <n v="109"/>
    <n v="109"/>
    <n v="0.93577981651376163"/>
    <n v="5.5045871559633003E-2"/>
    <n v="8.1284403669724767"/>
    <n v="0.43119266055045868"/>
    <n v="0"/>
    <n v="0"/>
    <n v="0"/>
    <n v="0"/>
    <n v="0"/>
    <n v="26"/>
    <n v="7"/>
    <n v="3"/>
    <n v="11"/>
    <n v="92"/>
    <n v="92"/>
    <n v="98"/>
    <n v="96"/>
    <n v="99"/>
    <n v="0.18478260869565211"/>
    <n v="0.1122448979591836"/>
    <n v="109"/>
    <n v="90"/>
    <n v="32"/>
    <n v="411"/>
    <s v="2008"/>
    <n v="2"/>
  </r>
  <r>
    <n v="1"/>
    <d v="2008-09-30T00:00:00"/>
    <x v="2"/>
    <n v="90"/>
    <n v="90"/>
    <n v="0.97777777777777763"/>
    <n v="2.2222222222222199E-2"/>
    <n v="8.0888888888888886"/>
    <n v="0.4777777777777778"/>
    <n v="0"/>
    <n v="1"/>
    <n v="1"/>
    <n v="1"/>
    <n v="0"/>
    <n v="25"/>
    <n v="5"/>
    <n v="6"/>
    <n v="4"/>
    <n v="109"/>
    <n v="92"/>
    <n v="91"/>
    <n v="95.75"/>
    <n v="96.375"/>
    <n v="-0.17431192660550451"/>
    <n v="-1.09890109890109E-2"/>
    <n v="90"/>
    <n v="120"/>
    <n v="32"/>
    <n v="411"/>
    <s v="2008"/>
    <n v="3"/>
  </r>
  <r>
    <n v="1"/>
    <d v="2008-12-31T00:00:00"/>
    <x v="2"/>
    <n v="120"/>
    <n v="120"/>
    <n v="0.98333333333333317"/>
    <n v="1.6666666666666601E-2"/>
    <n v="7.6916666666666664"/>
    <n v="0.55000000000000004"/>
    <n v="0"/>
    <n v="1"/>
    <n v="0"/>
    <n v="0"/>
    <n v="2"/>
    <n v="40"/>
    <n v="5"/>
    <n v="9"/>
    <n v="9"/>
    <n v="90"/>
    <n v="109"/>
    <n v="92"/>
    <n v="102.75"/>
    <n v="99.375"/>
    <n v="0.3333333333333332"/>
    <n v="0.30434782608695649"/>
    <n v="120"/>
    <n v="92"/>
    <n v="32"/>
    <n v="411"/>
    <s v="2008"/>
    <n v="4"/>
  </r>
  <r>
    <n v="1"/>
    <d v="2009-03-31T00:00:00"/>
    <x v="2"/>
    <n v="92"/>
    <n v="92"/>
    <n v="0.95652173913043481"/>
    <n v="4.3478260869565202E-2"/>
    <n v="7.8043478260869561"/>
    <n v="0.4456521739130434"/>
    <n v="0"/>
    <n v="1"/>
    <n v="1"/>
    <n v="1"/>
    <n v="0"/>
    <n v="28"/>
    <n v="1"/>
    <n v="4"/>
    <n v="5"/>
    <n v="120"/>
    <n v="90"/>
    <n v="92"/>
    <n v="102.75"/>
    <n v="98"/>
    <n v="-0.2333333333333332"/>
    <n v="0"/>
    <n v="92"/>
    <n v="117"/>
    <n v="33"/>
    <n v="485"/>
    <s v="2009"/>
    <n v="1"/>
  </r>
  <r>
    <n v="1"/>
    <d v="2009-06-30T00:00:00"/>
    <x v="2"/>
    <n v="117"/>
    <n v="117"/>
    <n v="0.94871794871794879"/>
    <n v="5.1282051282051197E-2"/>
    <n v="8.2564102564102573"/>
    <n v="0.50427350427350426"/>
    <n v="0"/>
    <n v="0"/>
    <n v="3"/>
    <n v="2"/>
    <n v="1"/>
    <n v="37"/>
    <n v="4"/>
    <n v="6"/>
    <n v="6"/>
    <n v="92"/>
    <n v="120"/>
    <n v="109"/>
    <n v="104.75"/>
    <n v="100.375"/>
    <n v="0.27173913043478271"/>
    <n v="7.3394495412843999E-2"/>
    <n v="117"/>
    <n v="134"/>
    <n v="33"/>
    <n v="485"/>
    <s v="2009"/>
    <n v="2"/>
  </r>
  <r>
    <n v="1"/>
    <d v="2009-09-30T00:00:00"/>
    <x v="2"/>
    <n v="134"/>
    <n v="134"/>
    <n v="0.94029850746268662"/>
    <n v="5.2238805970149203E-2"/>
    <n v="8.0223880597014929"/>
    <n v="0.42537313432835822"/>
    <n v="0"/>
    <n v="1"/>
    <n v="2"/>
    <n v="0"/>
    <n v="1"/>
    <n v="30"/>
    <n v="8"/>
    <n v="6"/>
    <n v="9"/>
    <n v="117"/>
    <n v="92"/>
    <n v="90"/>
    <n v="115.75"/>
    <n v="105.75"/>
    <n v="0.1452991452991452"/>
    <n v="0.48888888888888887"/>
    <n v="134"/>
    <n v="142"/>
    <n v="33"/>
    <n v="485"/>
    <s v="2009"/>
    <n v="3"/>
  </r>
  <r>
    <n v="1"/>
    <d v="2009-12-31T00:00:00"/>
    <x v="2"/>
    <n v="142"/>
    <n v="142"/>
    <n v="0.92253521126760563"/>
    <n v="6.3380281690140802E-2"/>
    <n v="7.8661971830985919"/>
    <n v="0.40845070422535212"/>
    <n v="0"/>
    <n v="0"/>
    <n v="0"/>
    <n v="0"/>
    <n v="0"/>
    <n v="39"/>
    <n v="3"/>
    <n v="7"/>
    <n v="9"/>
    <n v="134"/>
    <n v="117"/>
    <n v="120"/>
    <n v="121.25"/>
    <n v="112"/>
    <n v="5.97014925373133E-2"/>
    <n v="0.18333333333333329"/>
    <n v="142"/>
    <n v="164"/>
    <n v="33"/>
    <n v="485"/>
    <s v="2009"/>
    <n v="4"/>
  </r>
  <r>
    <n v="1"/>
    <d v="2010-03-31T00:00:00"/>
    <x v="3"/>
    <n v="164"/>
    <n v="164"/>
    <n v="0.96341463414634143"/>
    <n v="3.04878048780487E-2"/>
    <n v="7.6280487804878048"/>
    <n v="0.4451219512195122"/>
    <n v="0"/>
    <n v="0"/>
    <n v="0"/>
    <n v="1"/>
    <n v="0"/>
    <n v="43"/>
    <n v="3"/>
    <n v="15"/>
    <n v="11"/>
    <n v="142"/>
    <n v="134"/>
    <n v="92"/>
    <n v="139.25"/>
    <n v="121"/>
    <n v="0.15492957746478869"/>
    <n v="0.78260869565217384"/>
    <n v="164"/>
    <n v="230"/>
    <n v="34"/>
    <n v="794"/>
    <s v="2010"/>
    <n v="1"/>
  </r>
  <r>
    <n v="1"/>
    <d v="2010-06-30T00:00:00"/>
    <x v="3"/>
    <n v="230"/>
    <n v="230"/>
    <n v="0.95217391304347843"/>
    <n v="4.3478260869565202E-2"/>
    <n v="7.9391304347826086"/>
    <n v="0.50869565217391299"/>
    <n v="0"/>
    <n v="0"/>
    <n v="3"/>
    <n v="2"/>
    <n v="1"/>
    <n v="67"/>
    <n v="13"/>
    <n v="9"/>
    <n v="22"/>
    <n v="164"/>
    <n v="142"/>
    <n v="117"/>
    <n v="167.5"/>
    <n v="136.125"/>
    <n v="0.40243902439024382"/>
    <n v="0.9658119658119656"/>
    <n v="230"/>
    <n v="203"/>
    <n v="34"/>
    <n v="794"/>
    <s v="2010"/>
    <n v="2"/>
  </r>
  <r>
    <n v="1"/>
    <d v="2010-09-30T00:00:00"/>
    <x v="3"/>
    <n v="203"/>
    <n v="203"/>
    <n v="0.98029556650246319"/>
    <n v="1.9704433497536901E-2"/>
    <n v="8.6108374384236459"/>
    <n v="0.51231527093596063"/>
    <n v="0"/>
    <n v="1"/>
    <n v="0"/>
    <n v="1"/>
    <n v="0"/>
    <n v="66"/>
    <n v="15"/>
    <n v="8"/>
    <n v="13"/>
    <n v="230"/>
    <n v="164"/>
    <n v="134"/>
    <n v="184.75"/>
    <n v="150.25"/>
    <n v="-0.11739130434782601"/>
    <n v="0.5149253731343284"/>
    <n v="203"/>
    <n v="197"/>
    <n v="34"/>
    <n v="794"/>
    <s v="2010"/>
    <n v="3"/>
  </r>
  <r>
    <n v="1"/>
    <d v="2010-12-31T00:00:00"/>
    <x v="3"/>
    <n v="197"/>
    <n v="197"/>
    <n v="0.93401015228426398"/>
    <n v="6.0913705583756299E-2"/>
    <n v="8.3553299492385786"/>
    <n v="0.43147208121827407"/>
    <n v="0"/>
    <n v="0"/>
    <n v="1"/>
    <n v="5"/>
    <n v="1"/>
    <n v="47"/>
    <n v="9"/>
    <n v="9"/>
    <n v="13"/>
    <n v="203"/>
    <n v="230"/>
    <n v="142"/>
    <n v="198.5"/>
    <n v="159.875"/>
    <n v="-2.9556650246305299E-2"/>
    <n v="0.3873239436619717"/>
    <n v="197"/>
    <n v="225"/>
    <n v="34"/>
    <n v="794"/>
    <s v="2010"/>
    <n v="4"/>
  </r>
  <r>
    <n v="1"/>
    <d v="2011-03-31T00:00:00"/>
    <x v="3"/>
    <n v="225"/>
    <n v="225"/>
    <n v="0.96"/>
    <n v="0.04"/>
    <n v="7.92"/>
    <n v="0.48888888888888887"/>
    <n v="0"/>
    <n v="0"/>
    <n v="3"/>
    <n v="3"/>
    <n v="2"/>
    <n v="63"/>
    <n v="15"/>
    <n v="6"/>
    <n v="18"/>
    <n v="197"/>
    <n v="203"/>
    <n v="164"/>
    <n v="213.75"/>
    <n v="176.5"/>
    <n v="0.1421319796954314"/>
    <n v="0.37195121951219517"/>
    <n v="225"/>
    <n v="249"/>
    <n v="35"/>
    <n v="969"/>
    <s v="2011"/>
    <n v="1"/>
  </r>
  <r>
    <n v="1"/>
    <d v="2011-06-30T00:00:00"/>
    <x v="3"/>
    <n v="249"/>
    <n v="249"/>
    <n v="0.9718875502008032"/>
    <n v="2.81124497991967E-2"/>
    <n v="8.4698795180722897"/>
    <n v="0.4618473895582329"/>
    <n v="0"/>
    <n v="0"/>
    <n v="2"/>
    <n v="4"/>
    <n v="1"/>
    <n v="70"/>
    <n v="11"/>
    <n v="11"/>
    <n v="16"/>
    <n v="225"/>
    <n v="197"/>
    <n v="230"/>
    <n v="218.5"/>
    <n v="193"/>
    <n v="0.1066666666666666"/>
    <n v="8.2608695652173797E-2"/>
    <n v="249"/>
    <n v="251"/>
    <n v="35"/>
    <n v="969"/>
    <s v="2011"/>
    <n v="2"/>
  </r>
  <r>
    <n v="1"/>
    <d v="2011-09-30T00:00:00"/>
    <x v="3"/>
    <n v="251"/>
    <n v="251"/>
    <n v="0.98007968127490042"/>
    <n v="1.9920318725099601E-2"/>
    <n v="8.3585657370517925"/>
    <n v="0.45816733067729082"/>
    <n v="0"/>
    <n v="0"/>
    <n v="1"/>
    <n v="0"/>
    <n v="1"/>
    <n v="78"/>
    <n v="10"/>
    <n v="9"/>
    <n v="16"/>
    <n v="249"/>
    <n v="225"/>
    <n v="203"/>
    <n v="230.5"/>
    <n v="207.625"/>
    <n v="8.0321285140563005E-3"/>
    <n v="0.2364532019704432"/>
    <n v="251"/>
    <n v="244"/>
    <n v="35"/>
    <n v="969"/>
    <s v="2011"/>
    <n v="3"/>
  </r>
  <r>
    <n v="1"/>
    <d v="2011-12-31T00:00:00"/>
    <x v="3"/>
    <n v="244"/>
    <n v="244"/>
    <n v="0.97950819672131162"/>
    <n v="2.0491803278688499E-2"/>
    <n v="8.4467213114754092"/>
    <n v="0.50819672131147542"/>
    <n v="0"/>
    <n v="0"/>
    <n v="4"/>
    <n v="2"/>
    <n v="1"/>
    <n v="76"/>
    <n v="17"/>
    <n v="11"/>
    <n v="13"/>
    <n v="251"/>
    <n v="249"/>
    <n v="197"/>
    <n v="242.25"/>
    <n v="220.375"/>
    <n v="-2.78884462151394E-2"/>
    <n v="0.2385786802030456"/>
    <n v="244"/>
    <n v="259"/>
    <n v="35"/>
    <n v="969"/>
    <s v="2011"/>
    <n v="4"/>
  </r>
  <r>
    <n v="1"/>
    <d v="2012-03-31T00:00:00"/>
    <x v="3"/>
    <n v="259"/>
    <n v="259"/>
    <n v="0.99613899613899604"/>
    <n v="3.8610038610037999E-3"/>
    <n v="8.4710424710424714"/>
    <n v="0.47104247104247099"/>
    <n v="0"/>
    <n v="0"/>
    <n v="3"/>
    <n v="3"/>
    <n v="2"/>
    <n v="82"/>
    <n v="11"/>
    <n v="9"/>
    <n v="12"/>
    <n v="244"/>
    <n v="251"/>
    <n v="225"/>
    <n v="250.75"/>
    <n v="232.25"/>
    <n v="6.1475409836065399E-2"/>
    <n v="0.1511111111111112"/>
    <n v="259"/>
    <n v="304"/>
    <n v="36"/>
    <n v="1182"/>
    <s v="2012"/>
    <n v="1"/>
  </r>
  <r>
    <n v="1"/>
    <d v="2012-06-30T00:00:00"/>
    <x v="3"/>
    <n v="304"/>
    <n v="304"/>
    <n v="0.9967105263157896"/>
    <n v="3.2894736842105001E-3"/>
    <n v="9.0263157894736832"/>
    <n v="0.50986842105263153"/>
    <n v="0"/>
    <n v="0"/>
    <n v="5"/>
    <n v="3"/>
    <n v="0"/>
    <n v="99"/>
    <n v="17"/>
    <n v="4"/>
    <n v="27"/>
    <n v="259"/>
    <n v="244"/>
    <n v="249"/>
    <n v="264.5"/>
    <n v="241.5"/>
    <n v="0.17374517374517379"/>
    <n v="0.22088353413654621"/>
    <n v="304"/>
    <n v="331"/>
    <n v="36"/>
    <n v="1182"/>
    <s v="2012"/>
    <n v="2"/>
  </r>
  <r>
    <n v="1"/>
    <d v="2012-09-30T00:00:00"/>
    <x v="3"/>
    <n v="331"/>
    <n v="331"/>
    <n v="0.99395770392749239"/>
    <n v="6.0422960725075E-3"/>
    <n v="8.9697885196374614"/>
    <n v="0.5166163141993958"/>
    <n v="0"/>
    <n v="2"/>
    <n v="7"/>
    <n v="4"/>
    <n v="0"/>
    <n v="113"/>
    <n v="9"/>
    <n v="15"/>
    <n v="21"/>
    <n v="304"/>
    <n v="259"/>
    <n v="251"/>
    <n v="284.5"/>
    <n v="257.5"/>
    <n v="8.8815789473684195E-2"/>
    <n v="0.31872509960159351"/>
    <n v="331"/>
    <n v="288"/>
    <n v="36"/>
    <n v="1182"/>
    <s v="2012"/>
    <n v="3"/>
  </r>
  <r>
    <n v="1"/>
    <d v="2012-12-31T00:00:00"/>
    <x v="3"/>
    <n v="288"/>
    <n v="288"/>
    <n v="1"/>
    <n v="0"/>
    <n v="8.6006944444444446"/>
    <n v="0.52777777777777779"/>
    <n v="0"/>
    <n v="0"/>
    <n v="6"/>
    <n v="1"/>
    <n v="1"/>
    <n v="103"/>
    <n v="15"/>
    <n v="7"/>
    <n v="19"/>
    <n v="331"/>
    <n v="304"/>
    <n v="244"/>
    <n v="295.5"/>
    <n v="268.875"/>
    <n v="-0.12990936555891239"/>
    <n v="0.18032786885245899"/>
    <n v="288"/>
    <n v="273"/>
    <n v="36"/>
    <n v="1182"/>
    <s v="2012"/>
    <n v="4"/>
  </r>
  <r>
    <n v="1"/>
    <d v="2013-03-31T00:00:00"/>
    <x v="3"/>
    <n v="273"/>
    <n v="273"/>
    <n v="0.99633699633699635"/>
    <n v="0"/>
    <n v="8.6190476190476186"/>
    <n v="0.53479853479853479"/>
    <n v="0"/>
    <n v="1"/>
    <n v="4"/>
    <n v="2"/>
    <n v="1"/>
    <n v="103"/>
    <n v="11"/>
    <n v="9"/>
    <n v="15"/>
    <n v="288"/>
    <n v="331"/>
    <n v="259"/>
    <n v="299"/>
    <n v="274.875"/>
    <n v="-5.2083333333333301E-2"/>
    <n v="5.4054054054053897E-2"/>
    <n v="273"/>
    <n v="302"/>
    <n v="37"/>
    <n v="1326"/>
    <s v="2013"/>
    <n v="1"/>
  </r>
  <r>
    <n v="1"/>
    <d v="2013-06-30T00:00:00"/>
    <x v="3"/>
    <n v="302"/>
    <n v="302"/>
    <n v="0.9966887417218544"/>
    <n v="0"/>
    <n v="8.8841059602649004"/>
    <n v="0.57615894039735094"/>
    <n v="0"/>
    <n v="1"/>
    <n v="4"/>
    <n v="4"/>
    <n v="0"/>
    <n v="126"/>
    <n v="13"/>
    <n v="15"/>
    <n v="11"/>
    <n v="273"/>
    <n v="288"/>
    <n v="304"/>
    <n v="298.5"/>
    <n v="281.5"/>
    <n v="0.10622710622710629"/>
    <n v="-6.5789473684210002E-3"/>
    <n v="302"/>
    <n v="347"/>
    <n v="37"/>
    <n v="1326"/>
    <s v="2013"/>
    <n v="2"/>
  </r>
  <r>
    <n v="1"/>
    <d v="2013-09-30T00:00:00"/>
    <x v="3"/>
    <n v="347"/>
    <n v="347"/>
    <n v="1"/>
    <n v="0"/>
    <n v="8.7896253602305467"/>
    <n v="0.61671469740634011"/>
    <n v="0"/>
    <n v="0"/>
    <n v="6"/>
    <n v="4"/>
    <n v="1"/>
    <n v="155"/>
    <n v="18"/>
    <n v="10"/>
    <n v="20"/>
    <n v="302"/>
    <n v="273"/>
    <n v="331"/>
    <n v="302.5"/>
    <n v="293.5"/>
    <n v="0.14900662251655619"/>
    <n v="4.8338368580060402E-2"/>
    <n v="347"/>
    <n v="404"/>
    <n v="37"/>
    <n v="1326"/>
    <s v="2013"/>
    <n v="3"/>
  </r>
  <r>
    <n v="1"/>
    <d v="2013-12-31T00:00:00"/>
    <x v="3"/>
    <n v="404"/>
    <n v="404"/>
    <n v="1"/>
    <n v="0"/>
    <n v="8.6089108910891081"/>
    <n v="0.5643564356435643"/>
    <n v="0"/>
    <n v="2"/>
    <n v="8"/>
    <n v="5"/>
    <n v="0"/>
    <n v="153"/>
    <n v="29"/>
    <n v="12"/>
    <n v="19"/>
    <n v="347"/>
    <n v="302"/>
    <n v="288"/>
    <n v="331.5"/>
    <n v="313.5"/>
    <n v="0.16426512968299711"/>
    <n v="0.40277777777777768"/>
    <n v="404"/>
    <n v="327"/>
    <n v="37"/>
    <n v="1326"/>
    <s v="2013"/>
    <n v="4"/>
  </r>
  <r>
    <n v="1"/>
    <d v="2014-03-31T00:00:00"/>
    <x v="3"/>
    <n v="327"/>
    <n v="327"/>
    <n v="1"/>
    <n v="0"/>
    <n v="8.4006116207951074"/>
    <n v="0.59327217125382259"/>
    <n v="0"/>
    <n v="2"/>
    <n v="2"/>
    <n v="5"/>
    <n v="0"/>
    <n v="137"/>
    <n v="14"/>
    <n v="13"/>
    <n v="21"/>
    <n v="404"/>
    <n v="347"/>
    <n v="273"/>
    <n v="345"/>
    <n v="322"/>
    <n v="-0.19059405940594051"/>
    <n v="0.19780219780219771"/>
    <n v="327"/>
    <n v="427"/>
    <n v="38"/>
    <n v="1697"/>
    <s v="2014"/>
    <n v="1"/>
  </r>
  <r>
    <n v="1"/>
    <d v="2014-06-30T00:00:00"/>
    <x v="3"/>
    <n v="427"/>
    <n v="427"/>
    <n v="1"/>
    <n v="0"/>
    <n v="8.9250585480093676"/>
    <n v="0.58313817330210771"/>
    <n v="0"/>
    <n v="4"/>
    <n v="9"/>
    <n v="2"/>
    <n v="0"/>
    <n v="177"/>
    <n v="17"/>
    <n v="8"/>
    <n v="32"/>
    <n v="327"/>
    <n v="404"/>
    <n v="302"/>
    <n v="376.25"/>
    <n v="337.375"/>
    <n v="0.30581039755351691"/>
    <n v="0.41390728476821192"/>
    <n v="427"/>
    <n v="525"/>
    <n v="38"/>
    <n v="1697"/>
    <s v="2014"/>
    <n v="2"/>
  </r>
  <r>
    <n v="1"/>
    <d v="2014-09-30T00:00:00"/>
    <x v="3"/>
    <n v="525"/>
    <n v="525"/>
    <n v="1"/>
    <n v="0"/>
    <n v="8.9980952380952388"/>
    <n v="0.5714285714285714"/>
    <n v="0"/>
    <n v="2"/>
    <n v="11"/>
    <n v="3"/>
    <n v="0"/>
    <n v="213"/>
    <n v="33"/>
    <n v="13"/>
    <n v="25"/>
    <n v="427"/>
    <n v="327"/>
    <n v="347"/>
    <n v="420.75"/>
    <n v="361.625"/>
    <n v="0.22950819672131151"/>
    <n v="0.51296829971181546"/>
    <n v="525"/>
    <n v="418"/>
    <n v="38"/>
    <n v="1697"/>
    <s v="2014"/>
    <n v="3"/>
  </r>
  <r>
    <n v="1"/>
    <d v="2014-12-31T00:00:00"/>
    <x v="3"/>
    <n v="418"/>
    <n v="418"/>
    <n v="1"/>
    <n v="0"/>
    <n v="8.5645933014354068"/>
    <n v="0.62679425837320579"/>
    <n v="1"/>
    <n v="1"/>
    <n v="5"/>
    <n v="8"/>
    <n v="0"/>
    <n v="177"/>
    <n v="20"/>
    <n v="16"/>
    <n v="34"/>
    <n v="525"/>
    <n v="427"/>
    <n v="404"/>
    <n v="424.25"/>
    <n v="377.875"/>
    <n v="-0.20380952380952369"/>
    <n v="3.4653465346534601E-2"/>
    <n v="418"/>
    <n v="404"/>
    <n v="38"/>
    <n v="1697"/>
    <s v="2014"/>
    <n v="4"/>
  </r>
  <r>
    <n v="1"/>
    <d v="2015-03-31T00:00:00"/>
    <x v="3"/>
    <n v="404"/>
    <n v="404"/>
    <n v="0.99752475247524763"/>
    <n v="0"/>
    <n v="8.8044554455445549"/>
    <n v="0.61881188118811881"/>
    <n v="0"/>
    <n v="1"/>
    <n v="8"/>
    <n v="7"/>
    <n v="0"/>
    <n v="180"/>
    <n v="17"/>
    <n v="16"/>
    <n v="21"/>
    <n v="418"/>
    <n v="525"/>
    <n v="327"/>
    <n v="443.5"/>
    <n v="394.25"/>
    <n v="-3.3492822966507102E-2"/>
    <n v="0.23547400611620789"/>
    <n v="404"/>
    <n v="345"/>
    <n v="39"/>
    <n v="1561"/>
    <s v="2015"/>
    <n v="1"/>
  </r>
  <r>
    <n v="1"/>
    <d v="2015-06-30T00:00:00"/>
    <x v="3"/>
    <n v="345"/>
    <n v="345"/>
    <n v="1"/>
    <n v="0"/>
    <n v="9.2289855072463762"/>
    <n v="0.66956521739130437"/>
    <n v="0"/>
    <n v="1"/>
    <n v="5"/>
    <n v="2"/>
    <n v="0"/>
    <n v="172"/>
    <n v="19"/>
    <n v="17"/>
    <n v="15"/>
    <n v="404"/>
    <n v="418"/>
    <n v="427"/>
    <n v="423"/>
    <n v="399.625"/>
    <n v="-0.146039603960396"/>
    <n v="-0.19203747072599531"/>
    <n v="345"/>
    <n v="410"/>
    <n v="39"/>
    <n v="1561"/>
    <s v="2015"/>
    <n v="2"/>
  </r>
  <r>
    <n v="1"/>
    <d v="2015-09-30T00:00:00"/>
    <x v="3"/>
    <n v="410"/>
    <n v="410"/>
    <n v="0.99756097560975598"/>
    <n v="0"/>
    <n v="8.8902439024390247"/>
    <n v="0.65609756097560978"/>
    <n v="0"/>
    <n v="1"/>
    <n v="3"/>
    <n v="2"/>
    <n v="0"/>
    <n v="193"/>
    <n v="21"/>
    <n v="20"/>
    <n v="29"/>
    <n v="345"/>
    <n v="404"/>
    <n v="525"/>
    <n v="394.25"/>
    <n v="407.5"/>
    <n v="0.1884057971014492"/>
    <n v="-0.21904761904761899"/>
    <n v="410"/>
    <n v="402"/>
    <n v="39"/>
    <n v="1561"/>
    <s v="2015"/>
    <n v="3"/>
  </r>
  <r>
    <n v="1"/>
    <d v="2015-12-31T00:00:00"/>
    <x v="3"/>
    <n v="402"/>
    <n v="402"/>
    <n v="1"/>
    <n v="0"/>
    <n v="8.9228855721393039"/>
    <n v="0.63681592039800994"/>
    <n v="0"/>
    <n v="0"/>
    <n v="8"/>
    <n v="0"/>
    <n v="2"/>
    <n v="172"/>
    <n v="29"/>
    <n v="13"/>
    <n v="32"/>
    <n v="410"/>
    <n v="345"/>
    <n v="418"/>
    <n v="390.25"/>
    <n v="407.25"/>
    <n v="-1.9512195121951199E-2"/>
    <n v="-3.8277511961722403E-2"/>
    <n v="402"/>
    <n v="448"/>
    <n v="39"/>
    <n v="1561"/>
    <s v="2015"/>
    <n v="4"/>
  </r>
  <r>
    <n v="1"/>
    <d v="2016-03-31T00:00:00"/>
    <x v="3"/>
    <n v="448"/>
    <n v="448"/>
    <n v="1"/>
    <n v="0"/>
    <n v="8.8236607142857135"/>
    <n v="0.6696428571428571"/>
    <n v="0"/>
    <n v="0"/>
    <n v="10"/>
    <n v="9"/>
    <n v="0"/>
    <n v="206"/>
    <n v="24"/>
    <n v="22"/>
    <n v="29"/>
    <n v="402"/>
    <n v="410"/>
    <n v="404"/>
    <n v="401.25"/>
    <n v="422.375"/>
    <n v="0.11442786069651741"/>
    <n v="0.10891089108910899"/>
    <n v="448"/>
    <n v="413"/>
    <n v="40"/>
    <n v="1705"/>
    <s v="2016"/>
    <n v="1"/>
  </r>
  <r>
    <n v="1"/>
    <d v="2016-06-30T00:00:00"/>
    <x v="3"/>
    <n v="413"/>
    <n v="413"/>
    <n v="0.99757869249394682"/>
    <n v="2.4213075060531999E-3"/>
    <n v="9.2469733656174338"/>
    <n v="0.61016949152542377"/>
    <n v="0"/>
    <n v="0"/>
    <n v="10"/>
    <n v="6"/>
    <n v="0"/>
    <n v="177"/>
    <n v="27"/>
    <n v="13"/>
    <n v="19"/>
    <n v="448"/>
    <n v="402"/>
    <n v="345"/>
    <n v="418.25"/>
    <n v="420.625"/>
    <n v="-7.8125E-2"/>
    <n v="0.19710144927536219"/>
    <n v="413"/>
    <n v="404"/>
    <n v="40"/>
    <n v="1705"/>
    <s v="2016"/>
    <n v="2"/>
  </r>
  <r>
    <n v="1"/>
    <d v="2016-09-30T00:00:00"/>
    <x v="3"/>
    <n v="404"/>
    <n v="404"/>
    <n v="0.99752475247524763"/>
    <n v="2.4752475247523998E-3"/>
    <n v="8.8514851485148522"/>
    <n v="0.60643564356435642"/>
    <n v="0"/>
    <n v="0"/>
    <n v="3"/>
    <n v="2"/>
    <n v="0"/>
    <n v="179"/>
    <n v="23"/>
    <n v="13"/>
    <n v="25"/>
    <n v="413"/>
    <n v="448"/>
    <n v="410"/>
    <n v="416.75"/>
    <n v="405.5"/>
    <n v="-2.17917675544794E-2"/>
    <n v="-1.46341463414634E-2"/>
    <n v="404"/>
    <n v="440"/>
    <n v="40"/>
    <n v="1705"/>
    <s v="2016"/>
    <n v="3"/>
  </r>
  <r>
    <n v="1"/>
    <d v="2016-12-31T00:00:00"/>
    <x v="3"/>
    <n v="440"/>
    <n v="440"/>
    <n v="0.99545454545454559"/>
    <n v="2.2727272727272002E-3"/>
    <n v="8.959090909090909"/>
    <n v="0.64772727272727271"/>
    <n v="0"/>
    <n v="1"/>
    <n v="9"/>
    <n v="4"/>
    <n v="0"/>
    <n v="208"/>
    <n v="21"/>
    <n v="12"/>
    <n v="30"/>
    <n v="404"/>
    <n v="413"/>
    <n v="402"/>
    <n v="426.25"/>
    <n v="408.25"/>
    <n v="8.9108910891089105E-2"/>
    <n v="9.4527363184079505E-2"/>
    <n v="440"/>
    <n v="358"/>
    <n v="40"/>
    <n v="1705"/>
    <s v="2016"/>
    <n v="4"/>
  </r>
  <r>
    <n v="1"/>
    <d v="2017-03-31T00:00:00"/>
    <x v="3"/>
    <n v="358"/>
    <n v="358"/>
    <n v="0.99720670391061439"/>
    <n v="2.7932960893853999E-3"/>
    <n v="9.1648044692737436"/>
    <n v="0.65083798882681565"/>
    <n v="0"/>
    <n v="1"/>
    <n v="5"/>
    <n v="4"/>
    <n v="0"/>
    <n v="167"/>
    <n v="21"/>
    <n v="10"/>
    <n v="25"/>
    <n v="440"/>
    <n v="404"/>
    <n v="448"/>
    <n v="403.75"/>
    <n v="402.5"/>
    <n v="-0.1863636363636364"/>
    <n v="-0.2008928571428571"/>
    <n v="358"/>
    <n v="447"/>
    <n v="41"/>
    <n v="1599"/>
    <s v="2017"/>
    <n v="1"/>
  </r>
  <r>
    <n v="1"/>
    <d v="2017-06-30T00:00:00"/>
    <x v="3"/>
    <n v="447"/>
    <n v="447"/>
    <n v="1"/>
    <n v="0"/>
    <n v="9.4362416107382554"/>
    <n v="0.70917225950783003"/>
    <n v="0"/>
    <n v="2"/>
    <n v="5"/>
    <n v="4"/>
    <n v="2"/>
    <n v="231"/>
    <n v="21"/>
    <n v="18"/>
    <n v="34"/>
    <n v="358"/>
    <n v="440"/>
    <n v="413"/>
    <n v="412.25"/>
    <n v="415.25"/>
    <n v="0.24860335195530719"/>
    <n v="8.2324455205811095E-2"/>
    <n v="447"/>
    <n v="423"/>
    <n v="41"/>
    <n v="1599"/>
    <s v="2017"/>
    <n v="2"/>
  </r>
  <r>
    <n v="1"/>
    <d v="2017-09-30T00:00:00"/>
    <x v="3"/>
    <n v="423"/>
    <n v="423"/>
    <n v="0.99763593380614657"/>
    <n v="0"/>
    <n v="9.3096926713947994"/>
    <n v="0.61229314420803782"/>
    <n v="0"/>
    <n v="1"/>
    <n v="3"/>
    <n v="2"/>
    <n v="0"/>
    <n v="203"/>
    <n v="23"/>
    <n v="9"/>
    <n v="18"/>
    <n v="447"/>
    <n v="358"/>
    <n v="404"/>
    <n v="417"/>
    <n v="416.875"/>
    <n v="-5.3691275167785199E-2"/>
    <n v="4.7029702970297002E-2"/>
    <n v="423"/>
    <n v="371"/>
    <n v="41"/>
    <n v="1599"/>
    <s v="2017"/>
    <n v="3"/>
  </r>
  <r>
    <n v="1"/>
    <d v="2017-12-31T00:00:00"/>
    <x v="3"/>
    <n v="371"/>
    <n v="371"/>
    <n v="0.99730458221024243"/>
    <n v="0"/>
    <n v="9.0646900269541781"/>
    <n v="0.61725067385444743"/>
    <n v="0"/>
    <n v="1"/>
    <n v="5"/>
    <n v="2"/>
    <n v="1"/>
    <n v="176"/>
    <n v="10"/>
    <n v="8"/>
    <n v="26"/>
    <n v="423"/>
    <n v="447"/>
    <n v="440"/>
    <n v="399.75"/>
    <n v="413"/>
    <n v="-0.12293144208037821"/>
    <n v="-0.1568181818181818"/>
    <n v="371"/>
    <n v="349"/>
    <n v="41"/>
    <n v="1599"/>
    <s v="2017"/>
    <n v="4"/>
  </r>
  <r>
    <n v="1"/>
    <d v="2018-03-31T00:00:00"/>
    <x v="3"/>
    <n v="349"/>
    <n v="349"/>
    <n v="0.99713467048710602"/>
    <n v="2.8653295128938999E-3"/>
    <n v="9.4527220630372497"/>
    <n v="0.67048710601719197"/>
    <n v="0"/>
    <n v="0"/>
    <n v="8"/>
    <n v="5"/>
    <n v="0"/>
    <n v="171"/>
    <n v="15"/>
    <n v="17"/>
    <n v="18"/>
    <n v="371"/>
    <n v="423"/>
    <n v="358"/>
    <n v="397.5"/>
    <n v="400.625"/>
    <n v="-5.92991913746631E-2"/>
    <n v="-2.5139664804469199E-2"/>
    <n v="349"/>
    <n v="369"/>
    <n v="42"/>
    <n v="1376"/>
    <s v="2018"/>
    <n v="1"/>
  </r>
  <r>
    <n v="1"/>
    <d v="2018-06-30T00:00:00"/>
    <x v="3"/>
    <n v="369"/>
    <n v="369"/>
    <n v="1"/>
    <n v="0"/>
    <n v="9.0867208672086726"/>
    <n v="0.59078590785907859"/>
    <n v="0"/>
    <n v="1"/>
    <n v="2"/>
    <n v="4"/>
    <n v="0"/>
    <n v="169"/>
    <n v="12"/>
    <n v="7"/>
    <n v="23"/>
    <n v="349"/>
    <n v="371"/>
    <n v="447"/>
    <n v="378"/>
    <n v="395.125"/>
    <n v="5.7306590257879701E-2"/>
    <n v="-0.1744966442953019"/>
    <n v="369"/>
    <n v="324"/>
    <n v="42"/>
    <n v="1376"/>
    <s v="2018"/>
    <n v="2"/>
  </r>
  <r>
    <n v="1"/>
    <d v="2018-09-30T00:00:00"/>
    <x v="3"/>
    <n v="324"/>
    <n v="324"/>
    <n v="1"/>
    <n v="0"/>
    <n v="8.8981481481481488"/>
    <n v="0.6820987654320988"/>
    <n v="0"/>
    <n v="0"/>
    <n v="7"/>
    <n v="2"/>
    <n v="1"/>
    <n v="163"/>
    <n v="13"/>
    <n v="14"/>
    <n v="21"/>
    <n v="369"/>
    <n v="349"/>
    <n v="423"/>
    <n v="353.25"/>
    <n v="385.125"/>
    <n v="-0.12195121951219511"/>
    <n v="-0.23404255319148931"/>
    <n v="324"/>
    <n v="334"/>
    <n v="42"/>
    <n v="1376"/>
    <s v="2018"/>
    <n v="3"/>
  </r>
  <r>
    <n v="1"/>
    <d v="2018-12-31T00:00:00"/>
    <x v="3"/>
    <n v="334"/>
    <n v="334"/>
    <n v="0.99700598802395202"/>
    <n v="0"/>
    <n v="9.2994011976047908"/>
    <n v="0.6467065868263473"/>
    <n v="0"/>
    <n v="1"/>
    <n v="2"/>
    <n v="1"/>
    <n v="1"/>
    <n v="168"/>
    <n v="12"/>
    <n v="14"/>
    <n v="17"/>
    <n v="324"/>
    <n v="369"/>
    <n v="371"/>
    <n v="344"/>
    <n v="371.875"/>
    <n v="3.0864197530864099E-2"/>
    <n v="-9.9730458221024207E-2"/>
    <n v="334"/>
    <n v="351"/>
    <n v="42"/>
    <n v="1376"/>
    <s v="2018"/>
    <n v="4"/>
  </r>
  <r>
    <n v="1"/>
    <d v="2019-03-31T00:00:00"/>
    <x v="3"/>
    <n v="351"/>
    <n v="351"/>
    <n v="0.9943019943019944"/>
    <n v="2.8490028490028001E-3"/>
    <n v="9.0142450142450166"/>
    <n v="0.62962962962962965"/>
    <n v="1"/>
    <n v="0"/>
    <n v="7"/>
    <n v="2"/>
    <n v="2"/>
    <n v="160"/>
    <n v="10"/>
    <n v="16"/>
    <n v="23"/>
    <n v="334"/>
    <n v="324"/>
    <n v="349"/>
    <n v="344.5"/>
    <n v="371"/>
    <n v="5.0898203592814197E-2"/>
    <n v="5.7306590257879004E-3"/>
    <n v="351"/>
    <n v="425"/>
    <n v="43"/>
    <n v="1632"/>
    <s v="2019"/>
    <n v="1"/>
  </r>
  <r>
    <n v="1"/>
    <d v="2019-06-30T00:00:00"/>
    <x v="3"/>
    <n v="425"/>
    <n v="425"/>
    <n v="0.99529411764705877"/>
    <n v="0"/>
    <n v="9.4870588235294129"/>
    <n v="0.66823529411764704"/>
    <n v="0"/>
    <n v="1"/>
    <n v="4"/>
    <n v="4"/>
    <n v="3"/>
    <n v="212"/>
    <n v="7"/>
    <n v="22"/>
    <n v="31"/>
    <n v="351"/>
    <n v="334"/>
    <n v="369"/>
    <n v="358.5"/>
    <n v="368.25"/>
    <n v="0.21082621082621089"/>
    <n v="0.15176151761517609"/>
    <n v="425"/>
    <n v="395"/>
    <n v="43"/>
    <n v="1632"/>
    <s v="2019"/>
    <n v="2"/>
  </r>
  <r>
    <n v="1"/>
    <d v="2019-09-30T00:00:00"/>
    <x v="3"/>
    <n v="395"/>
    <n v="395"/>
    <n v="0.99746835443037962"/>
    <n v="0"/>
    <n v="8.9341772151898731"/>
    <n v="0.59493670886075944"/>
    <n v="0"/>
    <n v="2"/>
    <n v="9"/>
    <n v="3"/>
    <n v="0"/>
    <n v="175"/>
    <n v="9"/>
    <n v="13"/>
    <n v="24"/>
    <n v="425"/>
    <n v="351"/>
    <n v="324"/>
    <n v="376.25"/>
    <n v="364.75"/>
    <n v="-7.0588235294117604E-2"/>
    <n v="0.21913580246913589"/>
    <n v="395"/>
    <n v="461"/>
    <n v="43"/>
    <n v="1632"/>
    <s v="2019"/>
    <n v="3"/>
  </r>
  <r>
    <n v="1"/>
    <d v="2019-12-31T00:00:00"/>
    <x v="3"/>
    <n v="461"/>
    <n v="461"/>
    <n v="1"/>
    <n v="0"/>
    <n v="9.0997830802603037"/>
    <n v="0.6290672451193059"/>
    <n v="5"/>
    <n v="2"/>
    <n v="8"/>
    <n v="9"/>
    <n v="4"/>
    <n v="202"/>
    <n v="15"/>
    <n v="15"/>
    <n v="30"/>
    <n v="395"/>
    <n v="425"/>
    <n v="334"/>
    <n v="408"/>
    <n v="376"/>
    <n v="0.16708860759493671"/>
    <n v="0.38023952095808378"/>
    <n v="461"/>
    <n v="345"/>
    <n v="43"/>
    <n v="1632"/>
    <s v="2019"/>
    <n v="4"/>
  </r>
  <r>
    <n v="1"/>
    <d v="2020-03-31T00:00:00"/>
    <x v="4"/>
    <n v="345"/>
    <n v="345"/>
    <n v="0.99710144927536237"/>
    <n v="0"/>
    <n v="9.1304347826086953"/>
    <n v="0.66086956521739126"/>
    <n v="4"/>
    <n v="1"/>
    <n v="9"/>
    <n v="6"/>
    <n v="4"/>
    <n v="150"/>
    <n v="15"/>
    <n v="17"/>
    <n v="22"/>
    <n v="461"/>
    <n v="395"/>
    <n v="351"/>
    <n v="406.5"/>
    <n v="375.5"/>
    <n v="-0.25162689804772231"/>
    <n v="-1.7094017094017099E-2"/>
    <n v="345"/>
    <n v="363"/>
    <n v="44"/>
    <n v="1391"/>
    <s v="2020"/>
    <n v="1"/>
  </r>
  <r>
    <n v="1"/>
    <d v="2020-06-30T00:00:00"/>
    <x v="4"/>
    <n v="363"/>
    <n v="363"/>
    <n v="1"/>
    <n v="0"/>
    <n v="8.6446280991735538"/>
    <n v="0.65013774104683197"/>
    <n v="5"/>
    <n v="0"/>
    <n v="8"/>
    <n v="4"/>
    <n v="1"/>
    <n v="173"/>
    <n v="10"/>
    <n v="19"/>
    <n v="16"/>
    <n v="345"/>
    <n v="461"/>
    <n v="425"/>
    <n v="391"/>
    <n v="374.75"/>
    <n v="5.2173913043478098E-2"/>
    <n v="-0.14588235294117641"/>
    <n v="363"/>
    <n v="368"/>
    <n v="44"/>
    <n v="1391"/>
    <s v="2020"/>
    <n v="2"/>
  </r>
  <r>
    <n v="1"/>
    <d v="2020-09-30T00:00:00"/>
    <x v="4"/>
    <n v="368"/>
    <n v="368"/>
    <n v="1"/>
    <n v="0"/>
    <n v="9.6793478260869552"/>
    <n v="0.69836956521739135"/>
    <n v="4"/>
    <n v="0"/>
    <n v="11"/>
    <n v="4"/>
    <n v="1"/>
    <n v="185"/>
    <n v="11"/>
    <n v="18"/>
    <n v="23"/>
    <n v="363"/>
    <n v="345"/>
    <n v="395"/>
    <n v="384.25"/>
    <n v="380.25"/>
    <n v="1.37741046831956E-2"/>
    <n v="-6.8354430379746797E-2"/>
    <n v="368"/>
    <n v="315"/>
    <n v="44"/>
    <n v="1391"/>
    <s v="2020"/>
    <n v="3"/>
  </r>
  <r>
    <n v="1"/>
    <d v="2020-12-31T00:00:00"/>
    <x v="4"/>
    <n v="315"/>
    <n v="315"/>
    <n v="0.99365079365079356"/>
    <n v="3.1746031746031E-3"/>
    <n v="9.4476190476190478"/>
    <n v="0.59047619047619049"/>
    <n v="3"/>
    <n v="0"/>
    <n v="4"/>
    <n v="2"/>
    <n v="1"/>
    <n v="135"/>
    <n v="11"/>
    <n v="10"/>
    <n v="20"/>
    <n v="368"/>
    <n v="363"/>
    <n v="461"/>
    <n v="347.75"/>
    <n v="377.875"/>
    <n v="-0.14402173913043481"/>
    <n v="-0.31670281995661609"/>
    <n v="315"/>
    <n v="385"/>
    <n v="44"/>
    <n v="1391"/>
    <s v="2020"/>
    <n v="4"/>
  </r>
  <r>
    <n v="1"/>
    <d v="2021-03-31T00:00:00"/>
    <x v="4"/>
    <n v="385"/>
    <n v="385"/>
    <n v="0.9974025974025974"/>
    <n v="2.5974025974024998E-3"/>
    <n v="8.836363636363636"/>
    <n v="0.69090909090909092"/>
    <n v="9"/>
    <n v="2"/>
    <n v="10"/>
    <n v="4"/>
    <n v="6"/>
    <n v="186"/>
    <n v="17"/>
    <n v="10"/>
    <n v="22"/>
    <n v="315"/>
    <n v="368"/>
    <n v="345"/>
    <n v="357.75"/>
    <n v="382.125"/>
    <n v="0.22222222222222229"/>
    <n v="0.1159420289855073"/>
    <n v="385"/>
    <n v="355"/>
    <n v="45"/>
    <n v="1404"/>
    <s v="2021"/>
    <n v="1"/>
  </r>
  <r>
    <n v="1"/>
    <d v="2021-06-30T00:00:00"/>
    <x v="4"/>
    <n v="355"/>
    <n v="355"/>
    <n v="1"/>
    <n v="0"/>
    <n v="9.0450704225352112"/>
    <n v="0.6845070422535211"/>
    <n v="8"/>
    <n v="1"/>
    <n v="7"/>
    <n v="7"/>
    <n v="4"/>
    <n v="160"/>
    <n v="15"/>
    <n v="19"/>
    <n v="22"/>
    <n v="385"/>
    <n v="315"/>
    <n v="363"/>
    <n v="355.75"/>
    <n v="373.375"/>
    <n v="-7.7922077922077906E-2"/>
    <n v="-2.20385674931129E-2"/>
    <n v="355"/>
    <n v="342"/>
    <n v="45"/>
    <n v="1404"/>
    <s v="2021"/>
    <n v="2"/>
  </r>
  <r>
    <n v="1"/>
    <d v="2021-09-30T00:00:00"/>
    <x v="4"/>
    <n v="342"/>
    <n v="342"/>
    <n v="1"/>
    <n v="0"/>
    <n v="8.3859649122807021"/>
    <n v="0.60818713450292394"/>
    <n v="6"/>
    <n v="2"/>
    <n v="6"/>
    <n v="3"/>
    <n v="0"/>
    <n v="148"/>
    <n v="9"/>
    <n v="17"/>
    <n v="17"/>
    <n v="355"/>
    <n v="385"/>
    <n v="368"/>
    <n v="349.25"/>
    <n v="366.75"/>
    <n v="-3.6619718309859099E-2"/>
    <n v="-7.0652173913043403E-2"/>
    <n v="342"/>
    <n v="322"/>
    <n v="45"/>
    <n v="1404"/>
    <s v="2021"/>
    <n v="3"/>
  </r>
  <r>
    <n v="1"/>
    <d v="2021-12-31T00:00:00"/>
    <x v="4"/>
    <n v="322"/>
    <n v="322"/>
    <n v="0.99689440993788825"/>
    <n v="3.1055900621118002E-3"/>
    <n v="8.6304347826086953"/>
    <n v="0.6149068322981367"/>
    <n v="4"/>
    <n v="1"/>
    <n v="10"/>
    <n v="5"/>
    <n v="3"/>
    <n v="135"/>
    <n v="9"/>
    <n v="18"/>
    <n v="13"/>
    <n v="342"/>
    <n v="355"/>
    <n v="315"/>
    <n v="351"/>
    <n v="349.375"/>
    <n v="-5.8479532163742597E-2"/>
    <n v="2.2222222222222102E-2"/>
    <n v="322"/>
    <n v="377"/>
    <n v="45"/>
    <n v="1404"/>
    <s v="2021"/>
    <n v="4"/>
  </r>
  <r>
    <n v="1"/>
    <d v="2022-03-31T00:00:00"/>
    <x v="4"/>
    <n v="377"/>
    <n v="377"/>
    <n v="0.99469496021220161"/>
    <n v="2.6525198938992002E-3"/>
    <n v="8.6737400530503983"/>
    <n v="0.72148541114058351"/>
    <n v="9"/>
    <n v="0"/>
    <n v="13"/>
    <n v="6"/>
    <n v="6"/>
    <n v="183"/>
    <n v="19"/>
    <n v="17"/>
    <n v="19"/>
    <n v="322"/>
    <n v="342"/>
    <n v="385"/>
    <n v="349"/>
    <n v="353.375"/>
    <n v="0.170807453416149"/>
    <n v="-2.0779220779220699E-2"/>
    <n v="377"/>
    <n v="386"/>
    <n v="46"/>
    <n v="1418"/>
    <s v="2022"/>
    <n v="1"/>
  </r>
  <r>
    <n v="1"/>
    <d v="2022-06-30T00:00:00"/>
    <x v="4"/>
    <n v="386"/>
    <n v="386"/>
    <n v="0.99740932642487035"/>
    <n v="2.5906735751294999E-3"/>
    <n v="8.9896373056994818"/>
    <n v="0.70207253886010368"/>
    <n v="8"/>
    <n v="1"/>
    <n v="13"/>
    <n v="9"/>
    <n v="1"/>
    <n v="180"/>
    <n v="10"/>
    <n v="20"/>
    <n v="29"/>
    <n v="377"/>
    <n v="322"/>
    <n v="355"/>
    <n v="356.75"/>
    <n v="356.25"/>
    <n v="2.3872679045092899E-2"/>
    <n v="8.7323943661971895E-2"/>
    <n v="386"/>
    <n v="363"/>
    <n v="46"/>
    <n v="1418"/>
    <s v="2022"/>
    <n v="2"/>
  </r>
  <r>
    <n v="1"/>
    <d v="2022-09-30T00:00:00"/>
    <x v="4"/>
    <n v="363"/>
    <n v="363"/>
    <n v="1"/>
    <n v="0"/>
    <n v="8.8705234159779618"/>
    <n v="0.69972451790633605"/>
    <n v="16"/>
    <n v="1"/>
    <n v="12"/>
    <n v="10"/>
    <n v="5"/>
    <n v="152"/>
    <n v="15"/>
    <n v="21"/>
    <n v="22"/>
    <n v="386"/>
    <n v="377"/>
    <n v="342"/>
    <n v="362"/>
    <n v="355.625"/>
    <n v="-5.9585492227979202E-2"/>
    <n v="6.1403508771929703E-2"/>
    <n v="363"/>
    <n v="292"/>
    <n v="46"/>
    <n v="1418"/>
    <s v="2022"/>
    <n v="3"/>
  </r>
  <r>
    <n v="1"/>
    <d v="2022-12-31T00:00:00"/>
    <x v="4"/>
    <n v="292"/>
    <n v="292"/>
    <n v="0.99657534246575341"/>
    <n v="0"/>
    <n v="9.0821917808219155"/>
    <n v="0.62328767123287676"/>
    <n v="14"/>
    <n v="3"/>
    <n v="4"/>
    <n v="2"/>
    <n v="3"/>
    <n v="120"/>
    <n v="9"/>
    <n v="11"/>
    <n v="16"/>
    <n v="363"/>
    <n v="386"/>
    <n v="322"/>
    <n v="354.5"/>
    <n v="352.75"/>
    <n v="-0.19559228650137739"/>
    <n v="-9.3167701863353894E-2"/>
    <n v="292"/>
    <n v="283"/>
    <n v="46"/>
    <n v="1418"/>
    <s v="2022"/>
    <n v="4"/>
  </r>
  <r>
    <n v="1"/>
    <d v="2023-03-31T00:00:00"/>
    <x v="4"/>
    <n v="283"/>
    <n v="283"/>
    <n v="0.99293286219081278"/>
    <n v="0"/>
    <n v="8.8869257950530027"/>
    <n v="0.67491166077738518"/>
    <n v="6"/>
    <n v="6"/>
    <n v="7"/>
    <n v="5"/>
    <n v="3"/>
    <n v="129"/>
    <n v="8"/>
    <n v="13"/>
    <n v="14"/>
    <n v="292"/>
    <n v="363"/>
    <n v="377"/>
    <n v="331"/>
    <n v="340"/>
    <n v="-3.08219178082191E-2"/>
    <n v="-0.2493368700265251"/>
    <n v="283"/>
    <n v="267"/>
    <n v="47"/>
    <n v="1208"/>
    <s v="2023"/>
    <n v="1"/>
  </r>
  <r>
    <n v="1"/>
    <d v="2023-06-30T00:00:00"/>
    <x v="4"/>
    <n v="267"/>
    <n v="267"/>
    <n v="1"/>
    <n v="0"/>
    <n v="8.8726591760299627"/>
    <n v="0.77153558052434457"/>
    <n v="10"/>
    <n v="2"/>
    <n v="12"/>
    <n v="6"/>
    <n v="2"/>
    <n v="132"/>
    <n v="9"/>
    <n v="10"/>
    <n v="23"/>
    <n v="283"/>
    <n v="292"/>
    <n v="386"/>
    <n v="301.25"/>
    <n v="329"/>
    <n v="-5.6537102473498101E-2"/>
    <n v="-0.30829015544041449"/>
    <n v="267"/>
    <n v="306"/>
    <n v="47"/>
    <n v="1208"/>
    <s v="2023"/>
    <n v="2"/>
  </r>
  <r>
    <n v="1"/>
    <d v="2023-09-30T00:00:00"/>
    <x v="4"/>
    <n v="306"/>
    <n v="306"/>
    <n v="0.99673202614379075"/>
    <n v="0"/>
    <n v="8.6470588235294112"/>
    <n v="0.64052287581699341"/>
    <n v="9"/>
    <n v="2"/>
    <n v="10"/>
    <n v="4"/>
    <n v="2"/>
    <n v="133"/>
    <n v="11"/>
    <n v="14"/>
    <n v="11"/>
    <n v="267"/>
    <n v="283"/>
    <n v="363"/>
    <n v="287"/>
    <n v="324.5"/>
    <n v="0.14606741573033699"/>
    <n v="-0.1570247933884297"/>
    <n v="306"/>
    <n v="352"/>
    <n v="47"/>
    <n v="1208"/>
    <s v="2023"/>
    <n v="3"/>
  </r>
  <r>
    <n v="1"/>
    <d v="2023-12-31T00:00:00"/>
    <x v="4"/>
    <n v="352"/>
    <n v="352"/>
    <n v="0.99715909090909083"/>
    <n v="0"/>
    <n v="8.673295454545455"/>
    <n v="0.67045454545454541"/>
    <n v="14"/>
    <n v="2"/>
    <n v="5"/>
    <n v="8"/>
    <n v="3"/>
    <n v="155"/>
    <n v="9"/>
    <n v="17"/>
    <n v="23"/>
    <n v="306"/>
    <n v="267"/>
    <n v="292"/>
    <n v="302"/>
    <n v="328.25"/>
    <n v="0.1503267973856208"/>
    <n v="0.2054794520547944"/>
    <n v="352"/>
    <n v="383"/>
    <n v="47"/>
    <n v="1208"/>
    <s v="2023"/>
    <n v="4"/>
  </r>
  <r>
    <n v="1"/>
    <d v="2024-03-31T00:00:00"/>
    <x v="4"/>
    <n v="383"/>
    <n v="383"/>
    <n v="0.99477806788511758"/>
    <n v="0"/>
    <n v="8.3759791122715406"/>
    <n v="0.65274151436031336"/>
    <n v="11"/>
    <n v="6"/>
    <n v="11"/>
    <n v="10"/>
    <n v="2"/>
    <n v="156"/>
    <n v="9"/>
    <n v="24"/>
    <n v="21"/>
    <n v="352"/>
    <n v="306"/>
    <n v="283"/>
    <n v="327"/>
    <n v="329"/>
    <n v="8.8068181818181795E-2"/>
    <n v="0.35335689045936403"/>
    <n v="383"/>
    <n v="383"/>
    <n v="48"/>
    <n v="1549"/>
    <s v="2024"/>
    <n v="1"/>
  </r>
  <r>
    <n v="1"/>
    <d v="2024-06-30T00:00:00"/>
    <x v="4"/>
    <n v="383"/>
    <n v="383"/>
    <n v="0.99477806788511758"/>
    <n v="2.6109660574412E-3"/>
    <n v="8.7624020887728467"/>
    <n v="0.65535248041775462"/>
    <n v="12"/>
    <n v="3"/>
    <n v="14"/>
    <n v="7"/>
    <n v="5"/>
    <n v="159"/>
    <n v="10"/>
    <n v="17"/>
    <n v="24"/>
    <n v="383"/>
    <n v="352"/>
    <n v="267"/>
    <n v="356"/>
    <n v="328.625"/>
    <n v="0"/>
    <n v="0.43445692883895121"/>
    <n v="383"/>
    <n v="373"/>
    <n v="48"/>
    <n v="1549"/>
    <s v="2024"/>
    <n v="2"/>
  </r>
  <r>
    <n v="1"/>
    <d v="2024-09-30T00:00:00"/>
    <x v="4"/>
    <n v="373"/>
    <n v="373"/>
    <n v="0.99463806970509383"/>
    <n v="0"/>
    <n v="8.8042895442359246"/>
    <n v="0.71581769436997322"/>
    <n v="13"/>
    <n v="3"/>
    <n v="10"/>
    <n v="3"/>
    <n v="5"/>
    <n v="168"/>
    <n v="9"/>
    <n v="21"/>
    <n v="35"/>
    <n v="383"/>
    <n v="383"/>
    <n v="306"/>
    <n v="372.75"/>
    <n v="329.875"/>
    <n v="-2.61096605744125E-2"/>
    <n v="0.2189542483660131"/>
    <n v="373"/>
    <n v="410"/>
    <n v="48"/>
    <n v="1549"/>
    <s v="2024"/>
    <n v="3"/>
  </r>
  <r>
    <n v="1"/>
    <d v="2024-12-31T00:00:00"/>
    <x v="4"/>
    <n v="410"/>
    <n v="410"/>
    <n v="0.99756097560975598"/>
    <n v="0"/>
    <n v="8.3439024390243901"/>
    <n v="0.65365853658536588"/>
    <n v="15"/>
    <n v="10"/>
    <n v="10"/>
    <n v="8"/>
    <n v="1"/>
    <n v="172"/>
    <n v="11"/>
    <n v="17"/>
    <n v="24"/>
    <n v="373"/>
    <n v="383"/>
    <n v="352"/>
    <n v="387.25"/>
    <n v="344.625"/>
    <n v="9.91957104557641E-2"/>
    <n v="0.16477272727272729"/>
    <n v="410"/>
    <n v="399"/>
    <n v="48"/>
    <n v="1549"/>
    <s v="2024"/>
    <n v="4"/>
  </r>
  <r>
    <n v="1"/>
    <d v="2025-03-31T00:00:00"/>
    <x v="4"/>
    <n v="399"/>
    <n v="399"/>
    <n v="0.9949874686716792"/>
    <n v="0"/>
    <n v="8.4210526315789469"/>
    <n v="0.61403508771929827"/>
    <n v="10"/>
    <n v="7"/>
    <n v="12"/>
    <n v="6"/>
    <n v="4"/>
    <n v="158"/>
    <n v="13"/>
    <n v="13"/>
    <n v="22"/>
    <n v="410"/>
    <n v="373"/>
    <n v="383"/>
    <n v="391.25"/>
    <n v="359.125"/>
    <n v="-2.6829268292682899E-2"/>
    <n v="4.1775456919059997E-2"/>
    <n v="399"/>
    <n v="370"/>
    <n v="49"/>
    <n v="1177"/>
    <s v="2025"/>
    <n v="1"/>
  </r>
  <r>
    <n v="1"/>
    <d v="2025-06-30T00:00:00"/>
    <x v="4"/>
    <n v="370"/>
    <n v="370"/>
    <n v="0.99729729729729721"/>
    <n v="0"/>
    <n v="8.6945945945945944"/>
    <n v="0.65405405405405403"/>
    <n v="11"/>
    <n v="3"/>
    <n v="9"/>
    <n v="12"/>
    <n v="2"/>
    <n v="152"/>
    <n v="15"/>
    <n v="18"/>
    <n v="20"/>
    <n v="399"/>
    <n v="410"/>
    <n v="383"/>
    <n v="388"/>
    <n v="372"/>
    <n v="-7.2681704260651597E-2"/>
    <n v="-3.3942558746736198E-2"/>
    <n v="370"/>
    <n v="408"/>
    <n v="49"/>
    <n v="1177"/>
    <s v="2025"/>
    <n v="2"/>
  </r>
  <r>
    <n v="1"/>
    <d v="2025-09-30T00:00:00"/>
    <x v="4"/>
    <n v="408"/>
    <n v="408"/>
    <n v="0.99264705882352944"/>
    <n v="0"/>
    <n v="8.7401960784313726"/>
    <n v="0.70343137254901966"/>
    <n v="9"/>
    <n v="8"/>
    <n v="14"/>
    <n v="5"/>
    <n v="5"/>
    <n v="185"/>
    <n v="14"/>
    <n v="21"/>
    <n v="26"/>
    <n v="370"/>
    <n v="399"/>
    <n v="373"/>
    <n v="396.75"/>
    <n v="384.75"/>
    <n v="0.10270270270270269"/>
    <n v="9.3833780160857902E-2"/>
    <n v="408"/>
    <m/>
    <n v="49"/>
    <n v="1177"/>
    <s v="2025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C89E3-2A8A-4D54-BC1F-C52E3A31C173}" name="TablaDiná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Eras">
  <location ref="A3:B9" firstHeaderRow="1" firstDataRow="1" firstDataCol="1"/>
  <pivotFields count="31">
    <pivotField showAll="0"/>
    <pivotField numFmtId="14"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medio" fld="8" subtotal="average" baseField="2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B225F-3694-46B7-B577-0BEB0D102055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Eras">
  <location ref="A3:B9" firstHeaderRow="1" firstDataRow="1" firstDataCol="1"/>
  <pivotFields count="31">
    <pivotField showAll="0"/>
    <pivotField numFmtId="14" showAll="0"/>
    <pivotField axis="axisRow" showAll="0">
      <items count="6">
        <item x="1"/>
        <item x="0"/>
        <item x="2"/>
        <item x="4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" fld="3" baseField="2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ACC2F7B-8FDC-415A-B786-D1A6F3D9E774}" autoFormatId="16" applyNumberFormats="0" applyBorderFormats="0" applyFontFormats="0" applyPatternFormats="0" applyAlignmentFormats="0" applyWidthHeightFormats="0">
  <queryTableRefresh nextId="32">
    <queryTableFields count="31">
      <queryTableField id="1" name="day_of_week" tableColumnId="1"/>
      <queryTableField id="2" name="quarter_end" tableColumnId="2"/>
      <queryTableField id="3" name="tech_era" tableColumnId="3"/>
      <queryTableField id="4" name="patent_count" tableColumnId="4"/>
      <queryTableField id="5" name="patent_unique" tableColumnId="5"/>
      <queryTableField id="6" name="utility_share" tableColumnId="6"/>
      <queryTableField id="7" name="design_share" tableColumnId="7"/>
      <queryTableField id="8" name="avg_title_words" tableColumnId="8"/>
      <queryTableField id="9" name="avg_keyword_score" tableColumnId="9"/>
      <queryTableField id="10" name="kw_5g_count" tableColumnId="10"/>
      <queryTableField id="11" name="kw_ai_ml_count" tableColumnId="11"/>
      <queryTableField id="12" name="kw_cloud_edge_count" tableColumnId="12"/>
      <queryTableField id="13" name="kw_security_count" tableColumnId="13"/>
      <queryTableField id="14" name="kw_iot_count" tableColumnId="14"/>
      <queryTableField id="15" name="kw_network_count" tableColumnId="15"/>
      <queryTableField id="16" name="kw_energy_count" tableColumnId="16"/>
      <queryTableField id="17" name="kw_antenna_count" tableColumnId="17"/>
      <queryTableField id="18" name="kw_data_count" tableColumnId="18"/>
      <queryTableField id="19" name="patent_count_lag1" tableColumnId="19"/>
      <queryTableField id="20" name="patent_count_lag2" tableColumnId="20"/>
      <queryTableField id="21" name="patent_count_lag4" tableColumnId="21"/>
      <queryTableField id="22" name="patent_count_roll4_mean" tableColumnId="22"/>
      <queryTableField id="23" name="patent_count_roll8_mean" tableColumnId="23"/>
      <queryTableField id="24" name="patent_count_qoq" tableColumnId="24"/>
      <queryTableField id="25" name="patent_count_yoy" tableColumnId="25"/>
      <queryTableField id="26" name="target_patent_count_current" tableColumnId="26"/>
      <queryTableField id="27" name="target_patent_count_next_quarter" tableColumnId="27"/>
      <queryTableField id="28" name="years_since_first_patent" tableColumnId="28"/>
      <queryTableField id="29" name="year_patent_count" tableColumnId="29"/>
      <queryTableField id="30" name="year" tableColumnId="30"/>
      <queryTableField id="31" name="quarter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31AA5-E455-4897-B97B-2DD3D36CA57F}" name="quarterly_level_clean" displayName="quarterly_level_clean" ref="A1:AE200" tableType="queryTable" totalsRowShown="0">
  <autoFilter ref="A1:AE200" xr:uid="{DF031AA5-E455-4897-B97B-2DD3D36CA57F}"/>
  <tableColumns count="31">
    <tableColumn id="1" xr3:uid="{FC191A42-AA97-4978-A528-6E3A8F2CBDBA}" uniqueName="1" name="day_of_week" queryTableFieldId="1" dataDxfId="29"/>
    <tableColumn id="2" xr3:uid="{C2653742-59D9-4811-8D01-9B8801886E6A}" uniqueName="2" name="quarter_end" queryTableFieldId="2" dataDxfId="28"/>
    <tableColumn id="3" xr3:uid="{D7ECAB73-6765-4EB9-84CC-B358DCD7071E}" uniqueName="3" name="tech_era" queryTableFieldId="3" dataDxfId="27"/>
    <tableColumn id="4" xr3:uid="{CAEE884B-1FB5-4283-8277-BF3258A80096}" uniqueName="4" name="patent_count" queryTableFieldId="4" dataDxfId="26"/>
    <tableColumn id="5" xr3:uid="{94E44861-5700-4529-AF63-495AA35BBA0F}" uniqueName="5" name="patent_unique" queryTableFieldId="5" dataDxfId="25"/>
    <tableColumn id="6" xr3:uid="{63860710-4C70-4196-8109-68335B94CD26}" uniqueName="6" name="utility_share" queryTableFieldId="6"/>
    <tableColumn id="7" xr3:uid="{0973773E-2812-43E0-99C0-F2B4A59802DF}" uniqueName="7" name="design_share" queryTableFieldId="7" dataDxfId="24"/>
    <tableColumn id="8" xr3:uid="{005FE015-D3A9-4CAC-B2E0-EAAA79A00435}" uniqueName="8" name="avg_title_words" queryTableFieldId="8" dataDxfId="23"/>
    <tableColumn id="9" xr3:uid="{A227764F-1EDE-46AE-8F80-2BF4D0174C7A}" uniqueName="9" name="avg_keyword_score" queryTableFieldId="9" dataDxfId="22"/>
    <tableColumn id="10" xr3:uid="{6A518CFF-34B7-4A57-9F2B-4D3C507F33C0}" uniqueName="10" name="kw_5g_count" queryTableFieldId="10" dataDxfId="21"/>
    <tableColumn id="11" xr3:uid="{99D6C772-2D5D-4AC2-AD9C-87E7488739F4}" uniqueName="11" name="kw_ai_ml_count" queryTableFieldId="11" dataDxfId="20"/>
    <tableColumn id="12" xr3:uid="{4ED887E2-A23D-43A7-8424-A5BF76B2FE9D}" uniqueName="12" name="kw_cloud_edge_count" queryTableFieldId="12" dataDxfId="19"/>
    <tableColumn id="13" xr3:uid="{A700FCF9-4612-469B-B870-14BB41A82FF0}" uniqueName="13" name="kw_security_count" queryTableFieldId="13" dataDxfId="18"/>
    <tableColumn id="14" xr3:uid="{5B749B4C-AFFF-439B-9FF1-01C76FF943EE}" uniqueName="14" name="kw_iot_count" queryTableFieldId="14" dataDxfId="17"/>
    <tableColumn id="15" xr3:uid="{66BDD8FF-B45B-4F2C-90FC-A1728C2F3F89}" uniqueName="15" name="kw_network_count" queryTableFieldId="15" dataDxfId="16"/>
    <tableColumn id="16" xr3:uid="{0CD0EF44-68D2-4841-8FF0-B60090232DC2}" uniqueName="16" name="kw_energy_count" queryTableFieldId="16" dataDxfId="15"/>
    <tableColumn id="17" xr3:uid="{13E103DE-2EC9-48C6-AD78-7081C50641A3}" uniqueName="17" name="kw_antenna_count" queryTableFieldId="17" dataDxfId="14"/>
    <tableColumn id="18" xr3:uid="{F83B2810-25C9-4A0A-B846-D12D7295BF9F}" uniqueName="18" name="kw_data_count" queryTableFieldId="18" dataDxfId="13"/>
    <tableColumn id="19" xr3:uid="{0CC41185-70B4-469F-ADBD-920E24066CE0}" uniqueName="19" name="patent_count_lag1" queryTableFieldId="19" dataDxfId="12"/>
    <tableColumn id="20" xr3:uid="{337500F2-1647-46CE-A41B-770E38F8B3FF}" uniqueName="20" name="patent_count_lag2" queryTableFieldId="20" dataDxfId="11"/>
    <tableColumn id="21" xr3:uid="{993C18CD-9037-435C-B1DD-AAD335D3AF8A}" uniqueName="21" name="patent_count_lag4" queryTableFieldId="21" dataDxfId="10"/>
    <tableColumn id="22" xr3:uid="{C0CFFC08-B9D4-40B4-AFD4-874A85240B4F}" uniqueName="22" name="patent_count_roll4_mean" queryTableFieldId="22" dataDxfId="9"/>
    <tableColumn id="23" xr3:uid="{C6BFEDED-CDAE-4076-971C-59003C4A5150}" uniqueName="23" name="patent_count_roll8_mean" queryTableFieldId="23" dataDxfId="8"/>
    <tableColumn id="24" xr3:uid="{8EFCF4A9-ECF4-41F7-929E-62F1E3059D25}" uniqueName="24" name="patent_count_qoq" queryTableFieldId="24" dataDxfId="7"/>
    <tableColumn id="25" xr3:uid="{8610F944-1FDB-425B-8956-055B9B385715}" uniqueName="25" name="patent_count_yoy" queryTableFieldId="25" dataDxfId="6"/>
    <tableColumn id="26" xr3:uid="{F80B7B3D-B71C-43E9-9504-88588E804C4A}" uniqueName="26" name="target_patent_count_current" queryTableFieldId="26" dataDxfId="5"/>
    <tableColumn id="27" xr3:uid="{95605302-61B2-4C17-A821-3685BBE5E33D}" uniqueName="27" name="target_patent_count_next_quarter" queryTableFieldId="27" dataDxfId="4"/>
    <tableColumn id="28" xr3:uid="{08FE4AEB-E291-4AA6-B7C0-74AD24F174FB}" uniqueName="28" name="years_since_first_patent" queryTableFieldId="28" dataDxfId="3"/>
    <tableColumn id="29" xr3:uid="{86B09BE9-233F-4937-A624-5ACFA135AE85}" uniqueName="29" name="year_patent_count" queryTableFieldId="29" dataDxfId="2"/>
    <tableColumn id="30" xr3:uid="{CCDC2D02-BEAB-450B-9A78-91B1FC27F470}" uniqueName="30" name="year" queryTableFieldId="30" dataDxfId="1"/>
    <tableColumn id="31" xr3:uid="{C165BEFD-7B4C-4B8B-8B77-DE007723FB15}" uniqueName="31" name="quarter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99CF-44D7-49AA-AFF0-F956403AFC20}">
  <dimension ref="A3:B9"/>
  <sheetViews>
    <sheetView tabSelected="1" workbookViewId="0">
      <selection activeCell="H21" sqref="H21"/>
    </sheetView>
  </sheetViews>
  <sheetFormatPr baseColWidth="10" defaultRowHeight="15" x14ac:dyDescent="0.25"/>
  <cols>
    <col min="1" max="1" width="17.7109375" bestFit="1" customWidth="1"/>
    <col min="2" max="2" width="12" bestFit="1" customWidth="1"/>
  </cols>
  <sheetData>
    <row r="3" spans="1:2" x14ac:dyDescent="0.25">
      <c r="A3" s="2" t="s">
        <v>87</v>
      </c>
      <c r="B3" t="s">
        <v>88</v>
      </c>
    </row>
    <row r="4" spans="1:2" x14ac:dyDescent="0.25">
      <c r="A4" s="3" t="s">
        <v>46</v>
      </c>
      <c r="B4" s="1">
        <v>0.53077729164698861</v>
      </c>
    </row>
    <row r="5" spans="1:2" x14ac:dyDescent="0.25">
      <c r="A5" s="3" t="s">
        <v>31</v>
      </c>
      <c r="B5" s="1">
        <v>0.42107602219209356</v>
      </c>
    </row>
    <row r="6" spans="1:2" x14ac:dyDescent="0.25">
      <c r="A6" s="3" t="s">
        <v>57</v>
      </c>
      <c r="B6" s="1">
        <v>0.52529004241792121</v>
      </c>
    </row>
    <row r="7" spans="1:2" x14ac:dyDescent="0.25">
      <c r="A7" s="3" t="s">
        <v>79</v>
      </c>
      <c r="B7" s="1">
        <v>0.66745429146480095</v>
      </c>
    </row>
    <row r="8" spans="1:2" x14ac:dyDescent="0.25">
      <c r="A8" s="3" t="s">
        <v>68</v>
      </c>
      <c r="B8" s="1">
        <v>0.58308598019578661</v>
      </c>
    </row>
    <row r="9" spans="1:2" x14ac:dyDescent="0.25">
      <c r="A9" s="3" t="s">
        <v>86</v>
      </c>
      <c r="B9" s="1">
        <v>0.52511476641645971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4C79-F08B-4015-98F7-4F80F5C30EE9}">
  <dimension ref="A1:AE200"/>
  <sheetViews>
    <sheetView topLeftCell="A2" workbookViewId="0">
      <selection activeCell="C17" sqref="C17"/>
    </sheetView>
  </sheetViews>
  <sheetFormatPr baseColWidth="10" defaultRowHeight="15" x14ac:dyDescent="0.25"/>
  <cols>
    <col min="1" max="1" width="14.7109375" bestFit="1" customWidth="1"/>
    <col min="2" max="2" width="14.140625" bestFit="1" customWidth="1"/>
    <col min="3" max="3" width="17.7109375" bestFit="1" customWidth="1"/>
    <col min="4" max="4" width="15.140625" bestFit="1" customWidth="1"/>
    <col min="5" max="5" width="16.28515625" bestFit="1" customWidth="1"/>
    <col min="6" max="6" width="14.42578125" bestFit="1" customWidth="1"/>
    <col min="7" max="7" width="15.140625" bestFit="1" customWidth="1"/>
    <col min="8" max="8" width="17.140625" bestFit="1" customWidth="1"/>
    <col min="9" max="9" width="20.7109375" bestFit="1" customWidth="1"/>
    <col min="10" max="10" width="14.5703125" bestFit="1" customWidth="1"/>
    <col min="11" max="11" width="17.28515625" bestFit="1" customWidth="1"/>
    <col min="12" max="12" width="23" bestFit="1" customWidth="1"/>
    <col min="13" max="13" width="20" bestFit="1" customWidth="1"/>
    <col min="14" max="14" width="15" bestFit="1" customWidth="1"/>
    <col min="15" max="15" width="20" bestFit="1" customWidth="1"/>
    <col min="16" max="16" width="18.85546875" bestFit="1" customWidth="1"/>
    <col min="17" max="17" width="20" bestFit="1" customWidth="1"/>
    <col min="18" max="18" width="16.42578125" bestFit="1" customWidth="1"/>
    <col min="19" max="21" width="19.7109375" bestFit="1" customWidth="1"/>
    <col min="22" max="23" width="26.140625" bestFit="1" customWidth="1"/>
    <col min="24" max="24" width="19.5703125" bestFit="1" customWidth="1"/>
    <col min="25" max="25" width="19.28515625" bestFit="1" customWidth="1"/>
    <col min="26" max="26" width="29.140625" bestFit="1" customWidth="1"/>
    <col min="27" max="27" width="34.140625" bestFit="1" customWidth="1"/>
    <col min="28" max="28" width="25.42578125" bestFit="1" customWidth="1"/>
    <col min="29" max="29" width="20" bestFit="1" customWidth="1"/>
    <col min="30" max="30" width="7.140625" bestFit="1" customWidth="1"/>
    <col min="31" max="31" width="9.855468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>
        <v>1</v>
      </c>
      <c r="B2" s="4">
        <v>27850</v>
      </c>
      <c r="C2" s="1" t="s">
        <v>31</v>
      </c>
      <c r="D2" s="1">
        <v>10</v>
      </c>
      <c r="E2" s="1">
        <v>10</v>
      </c>
      <c r="F2">
        <v>1</v>
      </c>
      <c r="G2" s="1">
        <v>0</v>
      </c>
      <c r="H2" s="1">
        <v>9</v>
      </c>
      <c r="I2" s="1">
        <v>0.9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6</v>
      </c>
      <c r="P2" s="1">
        <v>0</v>
      </c>
      <c r="Q2" s="1">
        <v>0</v>
      </c>
      <c r="R2" s="1">
        <v>3</v>
      </c>
      <c r="S2" s="1">
        <v>334</v>
      </c>
      <c r="T2" s="1">
        <v>331</v>
      </c>
      <c r="U2" s="1">
        <v>324</v>
      </c>
      <c r="V2" s="1">
        <v>347.75</v>
      </c>
      <c r="W2" s="1">
        <v>337.375</v>
      </c>
      <c r="X2" s="1">
        <v>2.3872679045092899E-2</v>
      </c>
      <c r="Y2" s="1">
        <v>7.4324324324324301E-2</v>
      </c>
      <c r="Z2" s="1">
        <v>10</v>
      </c>
      <c r="AA2" s="1">
        <v>5</v>
      </c>
      <c r="AB2" s="1">
        <v>0</v>
      </c>
      <c r="AC2" s="1">
        <v>36</v>
      </c>
      <c r="AD2" s="1" t="s">
        <v>32</v>
      </c>
      <c r="AE2" s="1">
        <v>1</v>
      </c>
    </row>
    <row r="3" spans="1:31" x14ac:dyDescent="0.25">
      <c r="A3" s="1">
        <v>1</v>
      </c>
      <c r="B3" s="4">
        <v>27941</v>
      </c>
      <c r="C3" s="1" t="s">
        <v>31</v>
      </c>
      <c r="D3" s="1">
        <v>5</v>
      </c>
      <c r="E3" s="1">
        <v>5</v>
      </c>
      <c r="F3">
        <v>1</v>
      </c>
      <c r="G3" s="1">
        <v>0</v>
      </c>
      <c r="H3" s="1">
        <v>8.6</v>
      </c>
      <c r="I3" s="1">
        <v>0.8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2</v>
      </c>
      <c r="P3" s="1">
        <v>0</v>
      </c>
      <c r="Q3" s="1">
        <v>0</v>
      </c>
      <c r="R3" s="1">
        <v>2</v>
      </c>
      <c r="S3" s="1">
        <v>10</v>
      </c>
      <c r="T3" s="1">
        <v>331</v>
      </c>
      <c r="U3" s="1">
        <v>324</v>
      </c>
      <c r="V3" s="1">
        <v>347.75</v>
      </c>
      <c r="W3" s="1">
        <v>337.375</v>
      </c>
      <c r="X3" s="1">
        <v>-0.5</v>
      </c>
      <c r="Y3" s="1">
        <v>7.4324324324324301E-2</v>
      </c>
      <c r="Z3" s="1">
        <v>5</v>
      </c>
      <c r="AA3" s="1">
        <v>11</v>
      </c>
      <c r="AB3" s="1">
        <v>0</v>
      </c>
      <c r="AC3" s="1">
        <v>36</v>
      </c>
      <c r="AD3" s="1" t="s">
        <v>32</v>
      </c>
      <c r="AE3" s="1">
        <v>2</v>
      </c>
    </row>
    <row r="4" spans="1:31" x14ac:dyDescent="0.25">
      <c r="A4" s="1">
        <v>1</v>
      </c>
      <c r="B4" s="4">
        <v>28033</v>
      </c>
      <c r="C4" s="1" t="s">
        <v>31</v>
      </c>
      <c r="D4" s="1">
        <v>11</v>
      </c>
      <c r="E4" s="1">
        <v>11</v>
      </c>
      <c r="F4">
        <v>1</v>
      </c>
      <c r="G4" s="1">
        <v>0</v>
      </c>
      <c r="H4" s="1">
        <v>8.2727272727272734</v>
      </c>
      <c r="I4" s="1">
        <v>0.36363636363636359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2</v>
      </c>
      <c r="P4" s="1">
        <v>1</v>
      </c>
      <c r="Q4" s="1">
        <v>0</v>
      </c>
      <c r="R4" s="1">
        <v>1</v>
      </c>
      <c r="S4" s="1">
        <v>5</v>
      </c>
      <c r="T4" s="1">
        <v>10</v>
      </c>
      <c r="U4" s="1">
        <v>324</v>
      </c>
      <c r="V4" s="1">
        <v>347.75</v>
      </c>
      <c r="W4" s="1">
        <v>337.375</v>
      </c>
      <c r="X4" s="1">
        <v>1.2000000000000002</v>
      </c>
      <c r="Y4" s="1">
        <v>7.4324324324324301E-2</v>
      </c>
      <c r="Z4" s="1">
        <v>11</v>
      </c>
      <c r="AA4" s="1">
        <v>10</v>
      </c>
      <c r="AB4" s="1">
        <v>0</v>
      </c>
      <c r="AC4" s="1">
        <v>36</v>
      </c>
      <c r="AD4" s="1" t="s">
        <v>32</v>
      </c>
      <c r="AE4" s="1">
        <v>3</v>
      </c>
    </row>
    <row r="5" spans="1:31" x14ac:dyDescent="0.25">
      <c r="A5" s="1">
        <v>1</v>
      </c>
      <c r="B5" s="4">
        <v>28125</v>
      </c>
      <c r="C5" s="1" t="s">
        <v>31</v>
      </c>
      <c r="D5" s="1">
        <v>10</v>
      </c>
      <c r="E5" s="1">
        <v>10</v>
      </c>
      <c r="F5">
        <v>1</v>
      </c>
      <c r="G5" s="1">
        <v>0</v>
      </c>
      <c r="H5" s="1">
        <v>9.5</v>
      </c>
      <c r="I5" s="1">
        <v>0.3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2</v>
      </c>
      <c r="P5" s="1">
        <v>1</v>
      </c>
      <c r="Q5" s="1">
        <v>0</v>
      </c>
      <c r="R5" s="1">
        <v>0</v>
      </c>
      <c r="S5" s="1">
        <v>11</v>
      </c>
      <c r="T5" s="1">
        <v>5</v>
      </c>
      <c r="U5" s="1">
        <v>324</v>
      </c>
      <c r="V5" s="1">
        <v>9</v>
      </c>
      <c r="W5" s="1">
        <v>337.375</v>
      </c>
      <c r="X5" s="1">
        <v>-9.0909090909090898E-2</v>
      </c>
      <c r="Y5" s="1">
        <v>7.4324324324324301E-2</v>
      </c>
      <c r="Z5" s="1">
        <v>10</v>
      </c>
      <c r="AA5" s="1">
        <v>10</v>
      </c>
      <c r="AB5" s="1">
        <v>0</v>
      </c>
      <c r="AC5" s="1">
        <v>36</v>
      </c>
      <c r="AD5" s="1" t="s">
        <v>32</v>
      </c>
      <c r="AE5" s="1">
        <v>4</v>
      </c>
    </row>
    <row r="6" spans="1:31" x14ac:dyDescent="0.25">
      <c r="A6" s="1">
        <v>1</v>
      </c>
      <c r="B6" s="4">
        <v>28215</v>
      </c>
      <c r="C6" s="1" t="s">
        <v>31</v>
      </c>
      <c r="D6" s="1">
        <v>10</v>
      </c>
      <c r="E6" s="1">
        <v>10</v>
      </c>
      <c r="F6">
        <v>0.9</v>
      </c>
      <c r="G6" s="1">
        <v>0.1</v>
      </c>
      <c r="H6" s="1">
        <v>5.2</v>
      </c>
      <c r="I6" s="1">
        <v>0.1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10</v>
      </c>
      <c r="T6" s="1">
        <v>11</v>
      </c>
      <c r="U6" s="1">
        <v>10</v>
      </c>
      <c r="V6" s="1">
        <v>9</v>
      </c>
      <c r="W6" s="1">
        <v>337.375</v>
      </c>
      <c r="X6" s="1">
        <v>0</v>
      </c>
      <c r="Y6" s="1">
        <v>0</v>
      </c>
      <c r="Z6" s="1">
        <v>10</v>
      </c>
      <c r="AA6" s="1">
        <v>9</v>
      </c>
      <c r="AB6" s="1">
        <v>1</v>
      </c>
      <c r="AC6" s="1">
        <v>42</v>
      </c>
      <c r="AD6" s="1" t="s">
        <v>33</v>
      </c>
      <c r="AE6" s="1">
        <v>1</v>
      </c>
    </row>
    <row r="7" spans="1:31" x14ac:dyDescent="0.25">
      <c r="A7" s="1">
        <v>1</v>
      </c>
      <c r="B7" s="4">
        <v>28306</v>
      </c>
      <c r="C7" s="1" t="s">
        <v>31</v>
      </c>
      <c r="D7" s="1">
        <v>9</v>
      </c>
      <c r="E7" s="1">
        <v>9</v>
      </c>
      <c r="F7">
        <v>0.88888888888888884</v>
      </c>
      <c r="G7" s="1">
        <v>0.1111111111111111</v>
      </c>
      <c r="H7" s="1">
        <v>6.333333333333333</v>
      </c>
      <c r="I7" s="1">
        <v>0.33333333333333331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</v>
      </c>
      <c r="P7" s="1">
        <v>1</v>
      </c>
      <c r="Q7" s="1">
        <v>0</v>
      </c>
      <c r="R7" s="1">
        <v>0</v>
      </c>
      <c r="S7" s="1">
        <v>10</v>
      </c>
      <c r="T7" s="1">
        <v>10</v>
      </c>
      <c r="U7" s="1">
        <v>5</v>
      </c>
      <c r="V7" s="1">
        <v>10</v>
      </c>
      <c r="W7" s="1">
        <v>337.375</v>
      </c>
      <c r="X7" s="1">
        <v>-9.9999999999999895E-2</v>
      </c>
      <c r="Y7" s="1">
        <v>0.8</v>
      </c>
      <c r="Z7" s="1">
        <v>9</v>
      </c>
      <c r="AA7" s="1">
        <v>12</v>
      </c>
      <c r="AB7" s="1">
        <v>1</v>
      </c>
      <c r="AC7" s="1">
        <v>42</v>
      </c>
      <c r="AD7" s="1" t="s">
        <v>33</v>
      </c>
      <c r="AE7" s="1">
        <v>2</v>
      </c>
    </row>
    <row r="8" spans="1:31" x14ac:dyDescent="0.25">
      <c r="A8" s="1">
        <v>1</v>
      </c>
      <c r="B8" s="4">
        <v>28398</v>
      </c>
      <c r="C8" s="1" t="s">
        <v>31</v>
      </c>
      <c r="D8" s="1">
        <v>12</v>
      </c>
      <c r="E8" s="1">
        <v>12</v>
      </c>
      <c r="F8">
        <v>0.91666666666666663</v>
      </c>
      <c r="G8" s="1">
        <v>8.3333333333333301E-2</v>
      </c>
      <c r="H8" s="1">
        <v>6.083333333333333</v>
      </c>
      <c r="I8" s="1">
        <v>0.1666666666666666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1</v>
      </c>
      <c r="S8" s="1">
        <v>9</v>
      </c>
      <c r="T8" s="1">
        <v>10</v>
      </c>
      <c r="U8" s="1">
        <v>11</v>
      </c>
      <c r="V8" s="1">
        <v>10.25</v>
      </c>
      <c r="W8" s="1">
        <v>337.375</v>
      </c>
      <c r="X8" s="1">
        <v>0.3333333333333332</v>
      </c>
      <c r="Y8" s="1">
        <v>9.0909090909090801E-2</v>
      </c>
      <c r="Z8" s="1">
        <v>12</v>
      </c>
      <c r="AA8" s="1">
        <v>11</v>
      </c>
      <c r="AB8" s="1">
        <v>1</v>
      </c>
      <c r="AC8" s="1">
        <v>42</v>
      </c>
      <c r="AD8" s="1" t="s">
        <v>33</v>
      </c>
      <c r="AE8" s="1">
        <v>3</v>
      </c>
    </row>
    <row r="9" spans="1:31" x14ac:dyDescent="0.25">
      <c r="A9" s="1">
        <v>1</v>
      </c>
      <c r="B9" s="4">
        <v>28490</v>
      </c>
      <c r="C9" s="1" t="s">
        <v>31</v>
      </c>
      <c r="D9" s="1">
        <v>11</v>
      </c>
      <c r="E9" s="1">
        <v>11</v>
      </c>
      <c r="F9">
        <v>0.90909090909090917</v>
      </c>
      <c r="G9" s="1">
        <v>9.0909090909090898E-2</v>
      </c>
      <c r="H9" s="1">
        <v>9.2727272727272716</v>
      </c>
      <c r="I9" s="1">
        <v>0.45454545454545447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3</v>
      </c>
      <c r="P9" s="1">
        <v>0</v>
      </c>
      <c r="Q9" s="1">
        <v>0</v>
      </c>
      <c r="R9" s="1">
        <v>1</v>
      </c>
      <c r="S9" s="1">
        <v>12</v>
      </c>
      <c r="T9" s="1">
        <v>9</v>
      </c>
      <c r="U9" s="1">
        <v>10</v>
      </c>
      <c r="V9" s="1">
        <v>10.5</v>
      </c>
      <c r="W9" s="1">
        <v>9.75</v>
      </c>
      <c r="X9" s="1">
        <v>-8.3333333333333301E-2</v>
      </c>
      <c r="Y9" s="1">
        <v>0.1</v>
      </c>
      <c r="Z9" s="1">
        <v>11</v>
      </c>
      <c r="AA9" s="1">
        <v>16</v>
      </c>
      <c r="AB9" s="1">
        <v>1</v>
      </c>
      <c r="AC9" s="1">
        <v>42</v>
      </c>
      <c r="AD9" s="1" t="s">
        <v>33</v>
      </c>
      <c r="AE9" s="1">
        <v>4</v>
      </c>
    </row>
    <row r="10" spans="1:31" x14ac:dyDescent="0.25">
      <c r="A10" s="1">
        <v>1</v>
      </c>
      <c r="B10" s="4">
        <v>28580</v>
      </c>
      <c r="C10" s="1" t="s">
        <v>31</v>
      </c>
      <c r="D10" s="1">
        <v>16</v>
      </c>
      <c r="E10" s="1">
        <v>16</v>
      </c>
      <c r="F10">
        <v>1</v>
      </c>
      <c r="G10" s="1">
        <v>0</v>
      </c>
      <c r="H10" s="1">
        <v>11.1875</v>
      </c>
      <c r="I10" s="1">
        <v>0.5625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5</v>
      </c>
      <c r="P10" s="1">
        <v>0</v>
      </c>
      <c r="Q10" s="1">
        <v>0</v>
      </c>
      <c r="R10" s="1">
        <v>4</v>
      </c>
      <c r="S10" s="1">
        <v>11</v>
      </c>
      <c r="T10" s="1">
        <v>12</v>
      </c>
      <c r="U10" s="1">
        <v>10</v>
      </c>
      <c r="V10" s="1">
        <v>12</v>
      </c>
      <c r="W10" s="1">
        <v>10.5</v>
      </c>
      <c r="X10" s="1">
        <v>0.45454545454545459</v>
      </c>
      <c r="Y10" s="1">
        <v>0.60000000000000009</v>
      </c>
      <c r="Z10" s="1">
        <v>16</v>
      </c>
      <c r="AA10" s="1">
        <v>8</v>
      </c>
      <c r="AB10" s="1">
        <v>2</v>
      </c>
      <c r="AC10" s="1">
        <v>45</v>
      </c>
      <c r="AD10" s="1" t="s">
        <v>34</v>
      </c>
      <c r="AE10" s="1">
        <v>1</v>
      </c>
    </row>
    <row r="11" spans="1:31" x14ac:dyDescent="0.25">
      <c r="A11" s="1">
        <v>1</v>
      </c>
      <c r="B11" s="4">
        <v>28671</v>
      </c>
      <c r="C11" s="1" t="s">
        <v>31</v>
      </c>
      <c r="D11" s="1">
        <v>8</v>
      </c>
      <c r="E11" s="1">
        <v>8</v>
      </c>
      <c r="F11">
        <v>1</v>
      </c>
      <c r="G11" s="1">
        <v>0</v>
      </c>
      <c r="H11" s="1">
        <v>9.5</v>
      </c>
      <c r="I11" s="1">
        <v>0.375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</v>
      </c>
      <c r="P11" s="1">
        <v>0</v>
      </c>
      <c r="Q11" s="1">
        <v>0</v>
      </c>
      <c r="R11" s="1">
        <v>1</v>
      </c>
      <c r="S11" s="1">
        <v>16</v>
      </c>
      <c r="T11" s="1">
        <v>11</v>
      </c>
      <c r="U11" s="1">
        <v>9</v>
      </c>
      <c r="V11" s="1">
        <v>11.75</v>
      </c>
      <c r="W11" s="1">
        <v>10.875</v>
      </c>
      <c r="X11" s="1">
        <v>-0.5</v>
      </c>
      <c r="Y11" s="1">
        <v>-0.1111111111111111</v>
      </c>
      <c r="Z11" s="1">
        <v>8</v>
      </c>
      <c r="AA11" s="1">
        <v>11</v>
      </c>
      <c r="AB11" s="1">
        <v>2</v>
      </c>
      <c r="AC11" s="1">
        <v>45</v>
      </c>
      <c r="AD11" s="1" t="s">
        <v>34</v>
      </c>
      <c r="AE11" s="1">
        <v>2</v>
      </c>
    </row>
    <row r="12" spans="1:31" x14ac:dyDescent="0.25">
      <c r="A12" s="1">
        <v>1</v>
      </c>
      <c r="B12" s="4">
        <v>28763</v>
      </c>
      <c r="C12" s="1" t="s">
        <v>31</v>
      </c>
      <c r="D12" s="1">
        <v>11</v>
      </c>
      <c r="E12" s="1">
        <v>11</v>
      </c>
      <c r="F12">
        <v>0.81818181818181823</v>
      </c>
      <c r="G12" s="1">
        <v>0.1818181818181818</v>
      </c>
      <c r="H12" s="1">
        <v>9.0909090909090917</v>
      </c>
      <c r="I12" s="1">
        <v>0.36363636363636359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3</v>
      </c>
      <c r="P12" s="1">
        <v>1</v>
      </c>
      <c r="Q12" s="1">
        <v>0</v>
      </c>
      <c r="R12" s="1">
        <v>0</v>
      </c>
      <c r="S12" s="1">
        <v>8</v>
      </c>
      <c r="T12" s="1">
        <v>16</v>
      </c>
      <c r="U12" s="1">
        <v>12</v>
      </c>
      <c r="V12" s="1">
        <v>11.5</v>
      </c>
      <c r="W12" s="1">
        <v>10.875</v>
      </c>
      <c r="X12" s="1">
        <v>0.375</v>
      </c>
      <c r="Y12" s="1">
        <v>-8.3333333333333301E-2</v>
      </c>
      <c r="Z12" s="1">
        <v>11</v>
      </c>
      <c r="AA12" s="1">
        <v>10</v>
      </c>
      <c r="AB12" s="1">
        <v>2</v>
      </c>
      <c r="AC12" s="1">
        <v>45</v>
      </c>
      <c r="AD12" s="1" t="s">
        <v>34</v>
      </c>
      <c r="AE12" s="1">
        <v>3</v>
      </c>
    </row>
    <row r="13" spans="1:31" x14ac:dyDescent="0.25">
      <c r="A13" s="1">
        <v>1</v>
      </c>
      <c r="B13" s="4">
        <v>28855</v>
      </c>
      <c r="C13" s="1" t="s">
        <v>31</v>
      </c>
      <c r="D13" s="1">
        <v>10</v>
      </c>
      <c r="E13" s="1">
        <v>10</v>
      </c>
      <c r="F13">
        <v>0.8</v>
      </c>
      <c r="G13" s="1">
        <v>0.2</v>
      </c>
      <c r="H13" s="1">
        <v>5.5</v>
      </c>
      <c r="I13" s="1">
        <v>0.1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11</v>
      </c>
      <c r="T13" s="1">
        <v>8</v>
      </c>
      <c r="U13" s="1">
        <v>11</v>
      </c>
      <c r="V13" s="1">
        <v>11.25</v>
      </c>
      <c r="W13" s="1">
        <v>10.875</v>
      </c>
      <c r="X13" s="1">
        <v>-9.0909090909090898E-2</v>
      </c>
      <c r="Y13" s="1">
        <v>-9.0909090909090898E-2</v>
      </c>
      <c r="Z13" s="1">
        <v>10</v>
      </c>
      <c r="AA13" s="1">
        <v>8</v>
      </c>
      <c r="AB13" s="1">
        <v>2</v>
      </c>
      <c r="AC13" s="1">
        <v>45</v>
      </c>
      <c r="AD13" s="1" t="s">
        <v>34</v>
      </c>
      <c r="AE13" s="1">
        <v>4</v>
      </c>
    </row>
    <row r="14" spans="1:31" x14ac:dyDescent="0.25">
      <c r="A14" s="1">
        <v>1</v>
      </c>
      <c r="B14" s="4">
        <v>28945</v>
      </c>
      <c r="C14" s="1" t="s">
        <v>31</v>
      </c>
      <c r="D14" s="1">
        <v>8</v>
      </c>
      <c r="E14" s="1">
        <v>8</v>
      </c>
      <c r="F14">
        <v>0.75</v>
      </c>
      <c r="G14" s="1">
        <v>0.25</v>
      </c>
      <c r="H14" s="1">
        <v>5.75</v>
      </c>
      <c r="I14" s="1">
        <v>0.5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3</v>
      </c>
      <c r="P14" s="1">
        <v>0</v>
      </c>
      <c r="Q14" s="1">
        <v>0</v>
      </c>
      <c r="R14" s="1">
        <v>1</v>
      </c>
      <c r="S14" s="1">
        <v>10</v>
      </c>
      <c r="T14" s="1">
        <v>11</v>
      </c>
      <c r="U14" s="1">
        <v>16</v>
      </c>
      <c r="V14" s="1">
        <v>9.25</v>
      </c>
      <c r="W14" s="1">
        <v>10.625</v>
      </c>
      <c r="X14" s="1">
        <v>-0.1999999999999999</v>
      </c>
      <c r="Y14" s="1">
        <v>-0.5</v>
      </c>
      <c r="Z14" s="1">
        <v>8</v>
      </c>
      <c r="AA14" s="1">
        <v>10</v>
      </c>
      <c r="AB14" s="1">
        <v>3</v>
      </c>
      <c r="AC14" s="1">
        <v>28</v>
      </c>
      <c r="AD14" s="1" t="s">
        <v>35</v>
      </c>
      <c r="AE14" s="1">
        <v>1</v>
      </c>
    </row>
    <row r="15" spans="1:31" x14ac:dyDescent="0.25">
      <c r="A15" s="1">
        <v>1</v>
      </c>
      <c r="B15" s="4">
        <v>29036</v>
      </c>
      <c r="C15" s="1" t="s">
        <v>31</v>
      </c>
      <c r="D15" s="1">
        <v>10</v>
      </c>
      <c r="E15" s="1">
        <v>10</v>
      </c>
      <c r="F15">
        <v>0.9</v>
      </c>
      <c r="G15" s="1">
        <v>0.1</v>
      </c>
      <c r="H15" s="1">
        <v>8.9</v>
      </c>
      <c r="I15" s="1">
        <v>0.4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3</v>
      </c>
      <c r="P15" s="1">
        <v>0</v>
      </c>
      <c r="Q15" s="1">
        <v>1</v>
      </c>
      <c r="R15" s="1">
        <v>0</v>
      </c>
      <c r="S15" s="1">
        <v>8</v>
      </c>
      <c r="T15" s="1">
        <v>10</v>
      </c>
      <c r="U15" s="1">
        <v>8</v>
      </c>
      <c r="V15" s="1">
        <v>9.75</v>
      </c>
      <c r="W15" s="1">
        <v>10.75</v>
      </c>
      <c r="X15" s="1">
        <v>0.25</v>
      </c>
      <c r="Y15" s="1">
        <v>0.25</v>
      </c>
      <c r="Z15" s="1">
        <v>10</v>
      </c>
      <c r="AA15" s="1">
        <v>6</v>
      </c>
      <c r="AB15" s="1">
        <v>3</v>
      </c>
      <c r="AC15" s="1">
        <v>28</v>
      </c>
      <c r="AD15" s="1" t="s">
        <v>35</v>
      </c>
      <c r="AE15" s="1">
        <v>2</v>
      </c>
    </row>
    <row r="16" spans="1:31" x14ac:dyDescent="0.25">
      <c r="A16" s="1">
        <v>1</v>
      </c>
      <c r="B16" s="4">
        <v>29128</v>
      </c>
      <c r="C16" s="1" t="s">
        <v>31</v>
      </c>
      <c r="D16" s="1">
        <v>6</v>
      </c>
      <c r="E16" s="1">
        <v>6</v>
      </c>
      <c r="F16">
        <v>1</v>
      </c>
      <c r="G16" s="1">
        <v>0</v>
      </c>
      <c r="H16" s="1">
        <v>12.666666666666666</v>
      </c>
      <c r="I16" s="1">
        <v>0.1666666666666666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10</v>
      </c>
      <c r="T16" s="1">
        <v>8</v>
      </c>
      <c r="U16" s="1">
        <v>11</v>
      </c>
      <c r="V16" s="1">
        <v>8.5</v>
      </c>
      <c r="W16" s="1">
        <v>10</v>
      </c>
      <c r="X16" s="1">
        <v>-0.4</v>
      </c>
      <c r="Y16" s="1">
        <v>-0.45454545454545459</v>
      </c>
      <c r="Z16" s="1">
        <v>6</v>
      </c>
      <c r="AA16" s="1">
        <v>4</v>
      </c>
      <c r="AB16" s="1">
        <v>3</v>
      </c>
      <c r="AC16" s="1">
        <v>28</v>
      </c>
      <c r="AD16" s="1" t="s">
        <v>35</v>
      </c>
      <c r="AE16" s="1">
        <v>3</v>
      </c>
    </row>
    <row r="17" spans="1:31" x14ac:dyDescent="0.25">
      <c r="A17" s="1">
        <v>1</v>
      </c>
      <c r="B17" s="4">
        <v>29220</v>
      </c>
      <c r="C17" s="1" t="s">
        <v>31</v>
      </c>
      <c r="D17" s="1">
        <v>4</v>
      </c>
      <c r="E17" s="1">
        <v>4</v>
      </c>
      <c r="F17">
        <v>0.75</v>
      </c>
      <c r="G17" s="1">
        <v>0.25</v>
      </c>
      <c r="H17" s="1">
        <v>10.25</v>
      </c>
      <c r="I17" s="1">
        <v>0.25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6</v>
      </c>
      <c r="T17" s="1">
        <v>10</v>
      </c>
      <c r="U17" s="1">
        <v>10</v>
      </c>
      <c r="V17" s="1">
        <v>7</v>
      </c>
      <c r="W17" s="1">
        <v>9.125</v>
      </c>
      <c r="X17" s="1">
        <v>-0.33333333333333331</v>
      </c>
      <c r="Y17" s="1">
        <v>-0.6</v>
      </c>
      <c r="Z17" s="1">
        <v>4</v>
      </c>
      <c r="AA17" s="1">
        <v>4</v>
      </c>
      <c r="AB17" s="1">
        <v>3</v>
      </c>
      <c r="AC17" s="1">
        <v>28</v>
      </c>
      <c r="AD17" s="1" t="s">
        <v>35</v>
      </c>
      <c r="AE17" s="1">
        <v>4</v>
      </c>
    </row>
    <row r="18" spans="1:31" x14ac:dyDescent="0.25">
      <c r="A18" s="1">
        <v>1</v>
      </c>
      <c r="B18" s="4">
        <v>29311</v>
      </c>
      <c r="C18" s="1" t="s">
        <v>31</v>
      </c>
      <c r="D18" s="1">
        <v>4</v>
      </c>
      <c r="E18" s="1">
        <v>4</v>
      </c>
      <c r="F18">
        <v>0.75</v>
      </c>
      <c r="G18" s="1">
        <v>0.25</v>
      </c>
      <c r="H18" s="1">
        <v>6.25</v>
      </c>
      <c r="I18" s="1">
        <v>0.5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</v>
      </c>
      <c r="P18" s="1">
        <v>0</v>
      </c>
      <c r="Q18" s="1">
        <v>0</v>
      </c>
      <c r="R18" s="1">
        <v>0</v>
      </c>
      <c r="S18" s="1">
        <v>4</v>
      </c>
      <c r="T18" s="1">
        <v>6</v>
      </c>
      <c r="U18" s="1">
        <v>8</v>
      </c>
      <c r="V18" s="1">
        <v>6</v>
      </c>
      <c r="W18" s="1">
        <v>7.625</v>
      </c>
      <c r="X18" s="1">
        <v>0</v>
      </c>
      <c r="Y18" s="1">
        <v>-0.5</v>
      </c>
      <c r="Z18" s="1">
        <v>4</v>
      </c>
      <c r="AA18" s="1">
        <v>4</v>
      </c>
      <c r="AB18" s="1">
        <v>4</v>
      </c>
      <c r="AC18" s="1">
        <v>17</v>
      </c>
      <c r="AD18" s="1" t="s">
        <v>36</v>
      </c>
      <c r="AE18" s="1">
        <v>1</v>
      </c>
    </row>
    <row r="19" spans="1:31" x14ac:dyDescent="0.25">
      <c r="A19" s="1">
        <v>1</v>
      </c>
      <c r="B19" s="4">
        <v>29402</v>
      </c>
      <c r="C19" s="1" t="s">
        <v>31</v>
      </c>
      <c r="D19" s="1">
        <v>4</v>
      </c>
      <c r="E19" s="1">
        <v>4</v>
      </c>
      <c r="F19">
        <v>0.75</v>
      </c>
      <c r="G19" s="1">
        <v>0.25</v>
      </c>
      <c r="H19" s="1">
        <v>8</v>
      </c>
      <c r="I19" s="1">
        <v>0.75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2</v>
      </c>
      <c r="S19" s="1">
        <v>4</v>
      </c>
      <c r="T19" s="1">
        <v>4</v>
      </c>
      <c r="U19" s="1">
        <v>10</v>
      </c>
      <c r="V19" s="1">
        <v>4.5</v>
      </c>
      <c r="W19" s="1">
        <v>7.125</v>
      </c>
      <c r="X19" s="1">
        <v>0</v>
      </c>
      <c r="Y19" s="1">
        <v>-0.6</v>
      </c>
      <c r="Z19" s="1">
        <v>4</v>
      </c>
      <c r="AA19" s="1">
        <v>5</v>
      </c>
      <c r="AB19" s="1">
        <v>4</v>
      </c>
      <c r="AC19" s="1">
        <v>17</v>
      </c>
      <c r="AD19" s="1" t="s">
        <v>36</v>
      </c>
      <c r="AE19" s="1">
        <v>2</v>
      </c>
    </row>
    <row r="20" spans="1:31" x14ac:dyDescent="0.25">
      <c r="A20" s="1">
        <v>1</v>
      </c>
      <c r="B20" s="4">
        <v>29494</v>
      </c>
      <c r="C20" s="1" t="s">
        <v>31</v>
      </c>
      <c r="D20" s="1">
        <v>5</v>
      </c>
      <c r="E20" s="1">
        <v>5</v>
      </c>
      <c r="F20">
        <v>0.4</v>
      </c>
      <c r="G20" s="1">
        <v>0.6</v>
      </c>
      <c r="H20" s="1">
        <v>5.4</v>
      </c>
      <c r="I20" s="1">
        <v>0.4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4</v>
      </c>
      <c r="T20" s="1">
        <v>4</v>
      </c>
      <c r="U20" s="1">
        <v>6</v>
      </c>
      <c r="V20" s="1">
        <v>4.25</v>
      </c>
      <c r="W20" s="1">
        <v>6.375</v>
      </c>
      <c r="X20" s="1">
        <v>0.25</v>
      </c>
      <c r="Y20" s="1">
        <v>-0.1666666666666666</v>
      </c>
      <c r="Z20" s="1">
        <v>5</v>
      </c>
      <c r="AA20" s="1">
        <v>4</v>
      </c>
      <c r="AB20" s="1">
        <v>4</v>
      </c>
      <c r="AC20" s="1">
        <v>17</v>
      </c>
      <c r="AD20" s="1" t="s">
        <v>36</v>
      </c>
      <c r="AE20" s="1">
        <v>3</v>
      </c>
    </row>
    <row r="21" spans="1:31" x14ac:dyDescent="0.25">
      <c r="A21" s="1">
        <v>1</v>
      </c>
      <c r="B21" s="4">
        <v>29586</v>
      </c>
      <c r="C21" s="1" t="s">
        <v>31</v>
      </c>
      <c r="D21" s="1">
        <v>4</v>
      </c>
      <c r="E21" s="1">
        <v>4</v>
      </c>
      <c r="F21">
        <v>1</v>
      </c>
      <c r="G21" s="1">
        <v>0</v>
      </c>
      <c r="H21" s="1">
        <v>10.75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5</v>
      </c>
      <c r="T21" s="1">
        <v>4</v>
      </c>
      <c r="U21" s="1">
        <v>4</v>
      </c>
      <c r="V21" s="1">
        <v>4.25</v>
      </c>
      <c r="W21" s="1">
        <v>5.625</v>
      </c>
      <c r="X21" s="1">
        <v>-0.1999999999999999</v>
      </c>
      <c r="Y21" s="1">
        <v>0</v>
      </c>
      <c r="Z21" s="1">
        <v>4</v>
      </c>
      <c r="AA21" s="1">
        <v>3</v>
      </c>
      <c r="AB21" s="1">
        <v>4</v>
      </c>
      <c r="AC21" s="1">
        <v>17</v>
      </c>
      <c r="AD21" s="1" t="s">
        <v>36</v>
      </c>
      <c r="AE21" s="1">
        <v>4</v>
      </c>
    </row>
    <row r="22" spans="1:31" x14ac:dyDescent="0.25">
      <c r="A22" s="1">
        <v>1</v>
      </c>
      <c r="B22" s="4">
        <v>29676</v>
      </c>
      <c r="C22" s="1" t="s">
        <v>31</v>
      </c>
      <c r="D22" s="1">
        <v>3</v>
      </c>
      <c r="E22" s="1">
        <v>3</v>
      </c>
      <c r="F22">
        <v>1</v>
      </c>
      <c r="G22" s="1">
        <v>0</v>
      </c>
      <c r="H22" s="1">
        <v>11</v>
      </c>
      <c r="I22" s="1">
        <v>1.3333333333333333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</v>
      </c>
      <c r="P22" s="1">
        <v>1</v>
      </c>
      <c r="Q22" s="1">
        <v>0</v>
      </c>
      <c r="R22" s="1">
        <v>1</v>
      </c>
      <c r="S22" s="1">
        <v>4</v>
      </c>
      <c r="T22" s="1">
        <v>5</v>
      </c>
      <c r="U22" s="1">
        <v>4</v>
      </c>
      <c r="V22" s="1">
        <v>4</v>
      </c>
      <c r="W22" s="1">
        <v>5</v>
      </c>
      <c r="X22" s="1">
        <v>-0.25</v>
      </c>
      <c r="Y22" s="1">
        <v>-0.25</v>
      </c>
      <c r="Z22" s="1">
        <v>3</v>
      </c>
      <c r="AA22" s="1">
        <v>1</v>
      </c>
      <c r="AB22" s="1">
        <v>5</v>
      </c>
      <c r="AC22" s="1">
        <v>12</v>
      </c>
      <c r="AD22" s="1" t="s">
        <v>37</v>
      </c>
      <c r="AE22" s="1">
        <v>1</v>
      </c>
    </row>
    <row r="23" spans="1:31" x14ac:dyDescent="0.25">
      <c r="A23" s="1">
        <v>1</v>
      </c>
      <c r="B23" s="4">
        <v>29767</v>
      </c>
      <c r="C23" s="1" t="s">
        <v>31</v>
      </c>
      <c r="D23" s="1">
        <v>1</v>
      </c>
      <c r="E23" s="1">
        <v>1</v>
      </c>
      <c r="F23">
        <v>1</v>
      </c>
      <c r="G23" s="1">
        <v>0</v>
      </c>
      <c r="H23" s="1">
        <v>5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3</v>
      </c>
      <c r="T23" s="1">
        <v>4</v>
      </c>
      <c r="U23" s="1">
        <v>4</v>
      </c>
      <c r="V23" s="1">
        <v>3.25</v>
      </c>
      <c r="W23" s="1">
        <v>3.875</v>
      </c>
      <c r="X23" s="1">
        <v>-0.66666666666666674</v>
      </c>
      <c r="Y23" s="1">
        <v>-0.75</v>
      </c>
      <c r="Z23" s="1">
        <v>1</v>
      </c>
      <c r="AA23" s="1">
        <v>3</v>
      </c>
      <c r="AB23" s="1">
        <v>5</v>
      </c>
      <c r="AC23" s="1">
        <v>12</v>
      </c>
      <c r="AD23" s="1" t="s">
        <v>37</v>
      </c>
      <c r="AE23" s="1">
        <v>2</v>
      </c>
    </row>
    <row r="24" spans="1:31" x14ac:dyDescent="0.25">
      <c r="A24" s="1">
        <v>1</v>
      </c>
      <c r="B24" s="4">
        <v>29859</v>
      </c>
      <c r="C24" s="1" t="s">
        <v>31</v>
      </c>
      <c r="D24" s="1">
        <v>3</v>
      </c>
      <c r="E24" s="1">
        <v>3</v>
      </c>
      <c r="F24">
        <v>0.66666666666666663</v>
      </c>
      <c r="G24" s="1">
        <v>0.33333333333333331</v>
      </c>
      <c r="H24" s="1">
        <v>4</v>
      </c>
      <c r="I24" s="1">
        <v>0.66666666666666663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2</v>
      </c>
      <c r="P24" s="1">
        <v>0</v>
      </c>
      <c r="Q24" s="1">
        <v>0</v>
      </c>
      <c r="R24" s="1">
        <v>0</v>
      </c>
      <c r="S24" s="1">
        <v>1</v>
      </c>
      <c r="T24" s="1">
        <v>3</v>
      </c>
      <c r="U24" s="1">
        <v>5</v>
      </c>
      <c r="V24" s="1">
        <v>2.75</v>
      </c>
      <c r="W24" s="1">
        <v>3.5</v>
      </c>
      <c r="X24" s="1">
        <v>2</v>
      </c>
      <c r="Y24" s="1">
        <v>-0.4</v>
      </c>
      <c r="Z24" s="1">
        <v>3</v>
      </c>
      <c r="AA24" s="1">
        <v>5</v>
      </c>
      <c r="AB24" s="1">
        <v>5</v>
      </c>
      <c r="AC24" s="1">
        <v>12</v>
      </c>
      <c r="AD24" s="1" t="s">
        <v>37</v>
      </c>
      <c r="AE24" s="1">
        <v>3</v>
      </c>
    </row>
    <row r="25" spans="1:31" x14ac:dyDescent="0.25">
      <c r="A25" s="1">
        <v>1</v>
      </c>
      <c r="B25" s="4">
        <v>29951</v>
      </c>
      <c r="C25" s="1" t="s">
        <v>31</v>
      </c>
      <c r="D25" s="1">
        <v>5</v>
      </c>
      <c r="E25" s="1">
        <v>5</v>
      </c>
      <c r="F25">
        <v>1</v>
      </c>
      <c r="G25" s="1">
        <v>0</v>
      </c>
      <c r="H25" s="1">
        <v>12.2</v>
      </c>
      <c r="I25" s="1">
        <v>0.2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3</v>
      </c>
      <c r="T25" s="1">
        <v>1</v>
      </c>
      <c r="U25" s="1">
        <v>4</v>
      </c>
      <c r="V25" s="1">
        <v>3</v>
      </c>
      <c r="W25" s="1">
        <v>3.625</v>
      </c>
      <c r="X25" s="1">
        <v>0.66666666666666674</v>
      </c>
      <c r="Y25" s="1">
        <v>0.25</v>
      </c>
      <c r="Z25" s="1">
        <v>5</v>
      </c>
      <c r="AA25" s="1">
        <v>1</v>
      </c>
      <c r="AB25" s="1">
        <v>5</v>
      </c>
      <c r="AC25" s="1">
        <v>12</v>
      </c>
      <c r="AD25" s="1" t="s">
        <v>37</v>
      </c>
      <c r="AE25" s="1">
        <v>4</v>
      </c>
    </row>
    <row r="26" spans="1:31" x14ac:dyDescent="0.25">
      <c r="A26" s="1">
        <v>1</v>
      </c>
      <c r="B26" s="4">
        <v>30041</v>
      </c>
      <c r="C26" s="1" t="s">
        <v>31</v>
      </c>
      <c r="D26" s="1">
        <v>1</v>
      </c>
      <c r="E26" s="1">
        <v>1</v>
      </c>
      <c r="F26">
        <v>1</v>
      </c>
      <c r="G26" s="1">
        <v>0</v>
      </c>
      <c r="H26" s="1">
        <v>3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5</v>
      </c>
      <c r="T26" s="1">
        <v>3</v>
      </c>
      <c r="U26" s="1">
        <v>3</v>
      </c>
      <c r="V26" s="1">
        <v>2.5</v>
      </c>
      <c r="W26" s="1">
        <v>3.25</v>
      </c>
      <c r="X26" s="1">
        <v>-0.8</v>
      </c>
      <c r="Y26" s="1">
        <v>-0.66666666666666674</v>
      </c>
      <c r="Z26" s="1">
        <v>1</v>
      </c>
      <c r="AA26" s="1">
        <v>4</v>
      </c>
      <c r="AB26" s="1">
        <v>6</v>
      </c>
      <c r="AC26" s="1">
        <v>14</v>
      </c>
      <c r="AD26" s="1" t="s">
        <v>38</v>
      </c>
      <c r="AE26" s="1">
        <v>1</v>
      </c>
    </row>
    <row r="27" spans="1:31" x14ac:dyDescent="0.25">
      <c r="A27" s="1">
        <v>1</v>
      </c>
      <c r="B27" s="4">
        <v>30132</v>
      </c>
      <c r="C27" s="1" t="s">
        <v>31</v>
      </c>
      <c r="D27" s="1">
        <v>4</v>
      </c>
      <c r="E27" s="1">
        <v>4</v>
      </c>
      <c r="F27">
        <v>0.5</v>
      </c>
      <c r="G27" s="1">
        <v>0.5</v>
      </c>
      <c r="H27" s="1">
        <v>5.25</v>
      </c>
      <c r="I27" s="1">
        <v>0.25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1</v>
      </c>
      <c r="T27" s="1">
        <v>5</v>
      </c>
      <c r="U27" s="1">
        <v>1</v>
      </c>
      <c r="V27" s="1">
        <v>3.25</v>
      </c>
      <c r="W27" s="1">
        <v>3.25</v>
      </c>
      <c r="X27" s="1">
        <v>3</v>
      </c>
      <c r="Y27" s="1">
        <v>3</v>
      </c>
      <c r="Z27" s="1">
        <v>4</v>
      </c>
      <c r="AA27" s="1">
        <v>3</v>
      </c>
      <c r="AB27" s="1">
        <v>6</v>
      </c>
      <c r="AC27" s="1">
        <v>14</v>
      </c>
      <c r="AD27" s="1" t="s">
        <v>38</v>
      </c>
      <c r="AE27" s="1">
        <v>2</v>
      </c>
    </row>
    <row r="28" spans="1:31" x14ac:dyDescent="0.25">
      <c r="A28" s="1">
        <v>1</v>
      </c>
      <c r="B28" s="4">
        <v>30224</v>
      </c>
      <c r="C28" s="1" t="s">
        <v>31</v>
      </c>
      <c r="D28" s="1">
        <v>3</v>
      </c>
      <c r="E28" s="1">
        <v>3</v>
      </c>
      <c r="F28">
        <v>1</v>
      </c>
      <c r="G28" s="1">
        <v>0</v>
      </c>
      <c r="H28" s="1">
        <v>13</v>
      </c>
      <c r="I28" s="1">
        <v>1.3333333333333333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3</v>
      </c>
      <c r="P28" s="1">
        <v>0</v>
      </c>
      <c r="Q28" s="1">
        <v>0</v>
      </c>
      <c r="R28" s="1">
        <v>1</v>
      </c>
      <c r="S28" s="1">
        <v>4</v>
      </c>
      <c r="T28" s="1">
        <v>1</v>
      </c>
      <c r="U28" s="1">
        <v>3</v>
      </c>
      <c r="V28" s="1">
        <v>3.25</v>
      </c>
      <c r="W28" s="1">
        <v>3</v>
      </c>
      <c r="X28" s="1">
        <v>-0.25</v>
      </c>
      <c r="Y28" s="1">
        <v>0</v>
      </c>
      <c r="Z28" s="1">
        <v>3</v>
      </c>
      <c r="AA28" s="1">
        <v>6</v>
      </c>
      <c r="AB28" s="1">
        <v>6</v>
      </c>
      <c r="AC28" s="1">
        <v>14</v>
      </c>
      <c r="AD28" s="1" t="s">
        <v>38</v>
      </c>
      <c r="AE28" s="1">
        <v>3</v>
      </c>
    </row>
    <row r="29" spans="1:31" x14ac:dyDescent="0.25">
      <c r="A29" s="1">
        <v>1</v>
      </c>
      <c r="B29" s="4">
        <v>30316</v>
      </c>
      <c r="C29" s="1" t="s">
        <v>31</v>
      </c>
      <c r="D29" s="1">
        <v>6</v>
      </c>
      <c r="E29" s="1">
        <v>6</v>
      </c>
      <c r="F29">
        <v>1</v>
      </c>
      <c r="G29" s="1">
        <v>0</v>
      </c>
      <c r="H29" s="1">
        <v>10.333333333333334</v>
      </c>
      <c r="I29" s="1">
        <v>0.83333333333333337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4</v>
      </c>
      <c r="P29" s="1">
        <v>0</v>
      </c>
      <c r="Q29" s="1">
        <v>0</v>
      </c>
      <c r="R29" s="1">
        <v>1</v>
      </c>
      <c r="S29" s="1">
        <v>3</v>
      </c>
      <c r="T29" s="1">
        <v>4</v>
      </c>
      <c r="U29" s="1">
        <v>5</v>
      </c>
      <c r="V29" s="1">
        <v>3.5</v>
      </c>
      <c r="W29" s="1">
        <v>3.25</v>
      </c>
      <c r="X29" s="1">
        <v>1</v>
      </c>
      <c r="Y29" s="1">
        <v>0.1999999999999999</v>
      </c>
      <c r="Z29" s="1">
        <v>6</v>
      </c>
      <c r="AA29" s="1">
        <v>5</v>
      </c>
      <c r="AB29" s="1">
        <v>6</v>
      </c>
      <c r="AC29" s="1">
        <v>14</v>
      </c>
      <c r="AD29" s="1" t="s">
        <v>38</v>
      </c>
      <c r="AE29" s="1">
        <v>4</v>
      </c>
    </row>
    <row r="30" spans="1:31" x14ac:dyDescent="0.25">
      <c r="A30" s="1">
        <v>1</v>
      </c>
      <c r="B30" s="4">
        <v>30406</v>
      </c>
      <c r="C30" s="1" t="s">
        <v>31</v>
      </c>
      <c r="D30" s="1">
        <v>5</v>
      </c>
      <c r="E30" s="1">
        <v>5</v>
      </c>
      <c r="F30">
        <v>0.8</v>
      </c>
      <c r="G30" s="1">
        <v>0.2</v>
      </c>
      <c r="H30" s="1">
        <v>10.199999999999999</v>
      </c>
      <c r="I30" s="1">
        <v>0.2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6</v>
      </c>
      <c r="T30" s="1">
        <v>3</v>
      </c>
      <c r="U30" s="1">
        <v>1</v>
      </c>
      <c r="V30" s="1">
        <v>4.5</v>
      </c>
      <c r="W30" s="1">
        <v>3.5</v>
      </c>
      <c r="X30" s="1">
        <v>-0.1666666666666666</v>
      </c>
      <c r="Y30" s="1">
        <v>4</v>
      </c>
      <c r="Z30" s="1">
        <v>5</v>
      </c>
      <c r="AA30" s="1">
        <v>3</v>
      </c>
      <c r="AB30" s="1">
        <v>7</v>
      </c>
      <c r="AC30" s="1">
        <v>22</v>
      </c>
      <c r="AD30" s="1" t="s">
        <v>39</v>
      </c>
      <c r="AE30" s="1">
        <v>1</v>
      </c>
    </row>
    <row r="31" spans="1:31" x14ac:dyDescent="0.25">
      <c r="A31" s="1">
        <v>1</v>
      </c>
      <c r="B31" s="4">
        <v>30497</v>
      </c>
      <c r="C31" s="1" t="s">
        <v>31</v>
      </c>
      <c r="D31" s="1">
        <v>3</v>
      </c>
      <c r="E31" s="1">
        <v>3</v>
      </c>
      <c r="F31">
        <v>1</v>
      </c>
      <c r="G31" s="1">
        <v>0</v>
      </c>
      <c r="H31" s="1">
        <v>14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2</v>
      </c>
      <c r="P31" s="1">
        <v>0</v>
      </c>
      <c r="Q31" s="1">
        <v>0</v>
      </c>
      <c r="R31" s="1">
        <v>1</v>
      </c>
      <c r="S31" s="1">
        <v>5</v>
      </c>
      <c r="T31" s="1">
        <v>6</v>
      </c>
      <c r="U31" s="1">
        <v>4</v>
      </c>
      <c r="V31" s="1">
        <v>4.25</v>
      </c>
      <c r="W31" s="1">
        <v>3.75</v>
      </c>
      <c r="X31" s="1">
        <v>-0.4</v>
      </c>
      <c r="Y31" s="1">
        <v>-0.25</v>
      </c>
      <c r="Z31" s="1">
        <v>3</v>
      </c>
      <c r="AA31" s="1">
        <v>5</v>
      </c>
      <c r="AB31" s="1">
        <v>7</v>
      </c>
      <c r="AC31" s="1">
        <v>22</v>
      </c>
      <c r="AD31" s="1" t="s">
        <v>39</v>
      </c>
      <c r="AE31" s="1">
        <v>2</v>
      </c>
    </row>
    <row r="32" spans="1:31" x14ac:dyDescent="0.25">
      <c r="A32" s="1">
        <v>1</v>
      </c>
      <c r="B32" s="4">
        <v>30589</v>
      </c>
      <c r="C32" s="1" t="s">
        <v>31</v>
      </c>
      <c r="D32" s="1">
        <v>5</v>
      </c>
      <c r="E32" s="1">
        <v>5</v>
      </c>
      <c r="F32">
        <v>0.8</v>
      </c>
      <c r="G32" s="1">
        <v>0.2</v>
      </c>
      <c r="H32" s="1">
        <v>8.1999999999999993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3</v>
      </c>
      <c r="T32" s="1">
        <v>5</v>
      </c>
      <c r="U32" s="1">
        <v>3</v>
      </c>
      <c r="V32" s="1">
        <v>4.75</v>
      </c>
      <c r="W32" s="1">
        <v>4</v>
      </c>
      <c r="X32" s="1">
        <v>0.66666666666666674</v>
      </c>
      <c r="Y32" s="1">
        <v>0.66666666666666674</v>
      </c>
      <c r="Z32" s="1">
        <v>5</v>
      </c>
      <c r="AA32" s="1">
        <v>9</v>
      </c>
      <c r="AB32" s="1">
        <v>7</v>
      </c>
      <c r="AC32" s="1">
        <v>22</v>
      </c>
      <c r="AD32" s="1" t="s">
        <v>39</v>
      </c>
      <c r="AE32" s="1">
        <v>3</v>
      </c>
    </row>
    <row r="33" spans="1:31" x14ac:dyDescent="0.25">
      <c r="A33" s="1">
        <v>1</v>
      </c>
      <c r="B33" s="4">
        <v>30681</v>
      </c>
      <c r="C33" s="1" t="s">
        <v>31</v>
      </c>
      <c r="D33" s="1">
        <v>9</v>
      </c>
      <c r="E33" s="1">
        <v>9</v>
      </c>
      <c r="F33">
        <v>0.44444444444444442</v>
      </c>
      <c r="G33" s="1">
        <v>0.55555555555555558</v>
      </c>
      <c r="H33" s="1">
        <v>6.666666666666667</v>
      </c>
      <c r="I33" s="1">
        <v>0.22222222222222221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2</v>
      </c>
      <c r="P33" s="1">
        <v>0</v>
      </c>
      <c r="Q33" s="1">
        <v>0</v>
      </c>
      <c r="R33" s="1">
        <v>0</v>
      </c>
      <c r="S33" s="1">
        <v>5</v>
      </c>
      <c r="T33" s="1">
        <v>3</v>
      </c>
      <c r="U33" s="1">
        <v>6</v>
      </c>
      <c r="V33" s="1">
        <v>5.5</v>
      </c>
      <c r="W33" s="1">
        <v>4.5</v>
      </c>
      <c r="X33" s="1">
        <v>0.8</v>
      </c>
      <c r="Y33" s="1">
        <v>0.5</v>
      </c>
      <c r="Z33" s="1">
        <v>9</v>
      </c>
      <c r="AA33" s="1">
        <v>7</v>
      </c>
      <c r="AB33" s="1">
        <v>7</v>
      </c>
      <c r="AC33" s="1">
        <v>22</v>
      </c>
      <c r="AD33" s="1" t="s">
        <v>39</v>
      </c>
      <c r="AE33" s="1">
        <v>4</v>
      </c>
    </row>
    <row r="34" spans="1:31" x14ac:dyDescent="0.25">
      <c r="A34" s="1">
        <v>1</v>
      </c>
      <c r="B34" s="4">
        <v>30772</v>
      </c>
      <c r="C34" s="1" t="s">
        <v>31</v>
      </c>
      <c r="D34" s="1">
        <v>7</v>
      </c>
      <c r="E34" s="1">
        <v>7</v>
      </c>
      <c r="F34">
        <v>0.5714285714285714</v>
      </c>
      <c r="G34" s="1">
        <v>0.42857142857142849</v>
      </c>
      <c r="H34" s="1">
        <v>5.7142857142857144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9</v>
      </c>
      <c r="T34" s="1">
        <v>5</v>
      </c>
      <c r="U34" s="1">
        <v>5</v>
      </c>
      <c r="V34" s="1">
        <v>6</v>
      </c>
      <c r="W34" s="1">
        <v>5.25</v>
      </c>
      <c r="X34" s="1">
        <v>-0.22222222222222221</v>
      </c>
      <c r="Y34" s="1">
        <v>0.39999999999999991</v>
      </c>
      <c r="Z34" s="1">
        <v>7</v>
      </c>
      <c r="AA34" s="1">
        <v>6</v>
      </c>
      <c r="AB34" s="1">
        <v>8</v>
      </c>
      <c r="AC34" s="1">
        <v>34</v>
      </c>
      <c r="AD34" s="1" t="s">
        <v>40</v>
      </c>
      <c r="AE34" s="1">
        <v>1</v>
      </c>
    </row>
    <row r="35" spans="1:31" x14ac:dyDescent="0.25">
      <c r="A35" s="1">
        <v>1</v>
      </c>
      <c r="B35" s="4">
        <v>30863</v>
      </c>
      <c r="C35" s="1" t="s">
        <v>31</v>
      </c>
      <c r="D35" s="1">
        <v>6</v>
      </c>
      <c r="E35" s="1">
        <v>6</v>
      </c>
      <c r="F35">
        <v>0.66666666666666663</v>
      </c>
      <c r="G35" s="1">
        <v>0.33333333333333331</v>
      </c>
      <c r="H35" s="1">
        <v>5.166666666666667</v>
      </c>
      <c r="I35" s="1">
        <v>0.33333333333333331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2</v>
      </c>
      <c r="P35" s="1">
        <v>0</v>
      </c>
      <c r="Q35" s="1">
        <v>0</v>
      </c>
      <c r="R35" s="1">
        <v>0</v>
      </c>
      <c r="S35" s="1">
        <v>7</v>
      </c>
      <c r="T35" s="1">
        <v>9</v>
      </c>
      <c r="U35" s="1">
        <v>3</v>
      </c>
      <c r="V35" s="1">
        <v>6.75</v>
      </c>
      <c r="W35" s="1">
        <v>5.5</v>
      </c>
      <c r="X35" s="1">
        <v>-0.1428571428571429</v>
      </c>
      <c r="Y35" s="1">
        <v>1</v>
      </c>
      <c r="Z35" s="1">
        <v>6</v>
      </c>
      <c r="AA35" s="1">
        <v>15</v>
      </c>
      <c r="AB35" s="1">
        <v>8</v>
      </c>
      <c r="AC35" s="1">
        <v>34</v>
      </c>
      <c r="AD35" s="1" t="s">
        <v>40</v>
      </c>
      <c r="AE35" s="1">
        <v>2</v>
      </c>
    </row>
    <row r="36" spans="1:31" x14ac:dyDescent="0.25">
      <c r="A36" s="1">
        <v>1</v>
      </c>
      <c r="B36" s="4">
        <v>30955</v>
      </c>
      <c r="C36" s="1" t="s">
        <v>31</v>
      </c>
      <c r="D36" s="1">
        <v>15</v>
      </c>
      <c r="E36" s="1">
        <v>15</v>
      </c>
      <c r="F36">
        <v>0.8666666666666667</v>
      </c>
      <c r="G36" s="1">
        <v>0.1333333333333333</v>
      </c>
      <c r="H36" s="1">
        <v>11.333333333333334</v>
      </c>
      <c r="I36" s="1">
        <v>0.33333333333333331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4</v>
      </c>
      <c r="P36" s="1">
        <v>0</v>
      </c>
      <c r="Q36" s="1">
        <v>0</v>
      </c>
      <c r="R36" s="1">
        <v>1</v>
      </c>
      <c r="S36" s="1">
        <v>6</v>
      </c>
      <c r="T36" s="1">
        <v>7</v>
      </c>
      <c r="U36" s="1">
        <v>5</v>
      </c>
      <c r="V36" s="1">
        <v>9.25</v>
      </c>
      <c r="W36" s="1">
        <v>7</v>
      </c>
      <c r="X36" s="1">
        <v>1.5</v>
      </c>
      <c r="Y36" s="1">
        <v>2</v>
      </c>
      <c r="Z36" s="1">
        <v>15</v>
      </c>
      <c r="AA36" s="1">
        <v>6</v>
      </c>
      <c r="AB36" s="1">
        <v>8</v>
      </c>
      <c r="AC36" s="1">
        <v>34</v>
      </c>
      <c r="AD36" s="1" t="s">
        <v>40</v>
      </c>
      <c r="AE36" s="1">
        <v>3</v>
      </c>
    </row>
    <row r="37" spans="1:31" x14ac:dyDescent="0.25">
      <c r="A37" s="1">
        <v>1</v>
      </c>
      <c r="B37" s="4">
        <v>31047</v>
      </c>
      <c r="C37" s="1" t="s">
        <v>31</v>
      </c>
      <c r="D37" s="1">
        <v>6</v>
      </c>
      <c r="E37" s="1">
        <v>6</v>
      </c>
      <c r="F37">
        <v>0.83333333333333337</v>
      </c>
      <c r="G37" s="1">
        <v>0.1666666666666666</v>
      </c>
      <c r="H37" s="1">
        <v>11.833333333333334</v>
      </c>
      <c r="I37" s="1">
        <v>0.5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</v>
      </c>
      <c r="P37" s="1">
        <v>1</v>
      </c>
      <c r="Q37" s="1">
        <v>0</v>
      </c>
      <c r="R37" s="1">
        <v>0</v>
      </c>
      <c r="S37" s="1">
        <v>15</v>
      </c>
      <c r="T37" s="1">
        <v>6</v>
      </c>
      <c r="U37" s="1">
        <v>9</v>
      </c>
      <c r="V37" s="1">
        <v>8.5</v>
      </c>
      <c r="W37" s="1">
        <v>7</v>
      </c>
      <c r="X37" s="1">
        <v>-0.6</v>
      </c>
      <c r="Y37" s="1">
        <v>-0.33333333333333331</v>
      </c>
      <c r="Z37" s="1">
        <v>6</v>
      </c>
      <c r="AA37" s="1">
        <v>5</v>
      </c>
      <c r="AB37" s="1">
        <v>8</v>
      </c>
      <c r="AC37" s="1">
        <v>34</v>
      </c>
      <c r="AD37" s="1" t="s">
        <v>40</v>
      </c>
      <c r="AE37" s="1">
        <v>4</v>
      </c>
    </row>
    <row r="38" spans="1:31" x14ac:dyDescent="0.25">
      <c r="A38" s="1">
        <v>1</v>
      </c>
      <c r="B38" s="4">
        <v>31137</v>
      </c>
      <c r="C38" s="1" t="s">
        <v>31</v>
      </c>
      <c r="D38" s="1">
        <v>5</v>
      </c>
      <c r="E38" s="1">
        <v>5</v>
      </c>
      <c r="F38">
        <v>0.6</v>
      </c>
      <c r="G38" s="1">
        <v>0.4</v>
      </c>
      <c r="H38" s="1">
        <v>8.8000000000000007</v>
      </c>
      <c r="I38" s="1">
        <v>0.4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</v>
      </c>
      <c r="P38" s="1">
        <v>0</v>
      </c>
      <c r="Q38" s="1">
        <v>0</v>
      </c>
      <c r="R38" s="1">
        <v>0</v>
      </c>
      <c r="S38" s="1">
        <v>6</v>
      </c>
      <c r="T38" s="1">
        <v>15</v>
      </c>
      <c r="U38" s="1">
        <v>7</v>
      </c>
      <c r="V38" s="1">
        <v>8</v>
      </c>
      <c r="W38" s="1">
        <v>7</v>
      </c>
      <c r="X38" s="1">
        <v>-0.1666666666666666</v>
      </c>
      <c r="Y38" s="1">
        <v>-0.2857142857142857</v>
      </c>
      <c r="Z38" s="1">
        <v>5</v>
      </c>
      <c r="AA38" s="1">
        <v>3</v>
      </c>
      <c r="AB38" s="1">
        <v>9</v>
      </c>
      <c r="AC38" s="1">
        <v>26</v>
      </c>
      <c r="AD38" s="1" t="s">
        <v>41</v>
      </c>
      <c r="AE38" s="1">
        <v>1</v>
      </c>
    </row>
    <row r="39" spans="1:31" x14ac:dyDescent="0.25">
      <c r="A39" s="1">
        <v>1</v>
      </c>
      <c r="B39" s="4">
        <v>31228</v>
      </c>
      <c r="C39" s="1" t="s">
        <v>31</v>
      </c>
      <c r="D39" s="1">
        <v>3</v>
      </c>
      <c r="E39" s="1">
        <v>3</v>
      </c>
      <c r="F39">
        <v>1</v>
      </c>
      <c r="G39" s="1">
        <v>0</v>
      </c>
      <c r="H39" s="1">
        <v>11.333333333333334</v>
      </c>
      <c r="I39" s="1">
        <v>0.33333333333333331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1">
        <v>0</v>
      </c>
      <c r="Q39" s="1">
        <v>0</v>
      </c>
      <c r="R39" s="1">
        <v>0</v>
      </c>
      <c r="S39" s="1">
        <v>5</v>
      </c>
      <c r="T39" s="1">
        <v>6</v>
      </c>
      <c r="U39" s="1">
        <v>6</v>
      </c>
      <c r="V39" s="1">
        <v>7.25</v>
      </c>
      <c r="W39" s="1">
        <v>7</v>
      </c>
      <c r="X39" s="1">
        <v>-0.4</v>
      </c>
      <c r="Y39" s="1">
        <v>-0.5</v>
      </c>
      <c r="Z39" s="1">
        <v>3</v>
      </c>
      <c r="AA39" s="1">
        <v>6</v>
      </c>
      <c r="AB39" s="1">
        <v>9</v>
      </c>
      <c r="AC39" s="1">
        <v>26</v>
      </c>
      <c r="AD39" s="1" t="s">
        <v>41</v>
      </c>
      <c r="AE39" s="1">
        <v>2</v>
      </c>
    </row>
    <row r="40" spans="1:31" x14ac:dyDescent="0.25">
      <c r="A40" s="1">
        <v>1</v>
      </c>
      <c r="B40" s="4">
        <v>31320</v>
      </c>
      <c r="C40" s="1" t="s">
        <v>31</v>
      </c>
      <c r="D40" s="1">
        <v>6</v>
      </c>
      <c r="E40" s="1">
        <v>6</v>
      </c>
      <c r="F40">
        <v>1</v>
      </c>
      <c r="G40" s="1">
        <v>0</v>
      </c>
      <c r="H40" s="1">
        <v>9.5</v>
      </c>
      <c r="I40" s="1">
        <v>0.66666666666666663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3</v>
      </c>
      <c r="P40" s="1">
        <v>0</v>
      </c>
      <c r="Q40" s="1">
        <v>0</v>
      </c>
      <c r="R40" s="1">
        <v>1</v>
      </c>
      <c r="S40" s="1">
        <v>3</v>
      </c>
      <c r="T40" s="1">
        <v>5</v>
      </c>
      <c r="U40" s="1">
        <v>15</v>
      </c>
      <c r="V40" s="1">
        <v>5</v>
      </c>
      <c r="W40" s="1">
        <v>7.125</v>
      </c>
      <c r="X40" s="1">
        <v>1</v>
      </c>
      <c r="Y40" s="1">
        <v>-0.6</v>
      </c>
      <c r="Z40" s="1">
        <v>6</v>
      </c>
      <c r="AA40" s="1">
        <v>12</v>
      </c>
      <c r="AB40" s="1">
        <v>9</v>
      </c>
      <c r="AC40" s="1">
        <v>26</v>
      </c>
      <c r="AD40" s="1" t="s">
        <v>41</v>
      </c>
      <c r="AE40" s="1">
        <v>3</v>
      </c>
    </row>
    <row r="41" spans="1:31" x14ac:dyDescent="0.25">
      <c r="A41" s="1">
        <v>1</v>
      </c>
      <c r="B41" s="4">
        <v>31412</v>
      </c>
      <c r="C41" s="1" t="s">
        <v>31</v>
      </c>
      <c r="D41" s="1">
        <v>12</v>
      </c>
      <c r="E41" s="1">
        <v>12</v>
      </c>
      <c r="F41">
        <v>0.91666666666666663</v>
      </c>
      <c r="G41" s="1">
        <v>8.3333333333333301E-2</v>
      </c>
      <c r="H41" s="1">
        <v>8.0833333333333339</v>
      </c>
      <c r="I41" s="1">
        <v>0.25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2</v>
      </c>
      <c r="P41" s="1">
        <v>0</v>
      </c>
      <c r="Q41" s="1">
        <v>0</v>
      </c>
      <c r="R41" s="1">
        <v>0</v>
      </c>
      <c r="S41" s="1">
        <v>6</v>
      </c>
      <c r="T41" s="1">
        <v>3</v>
      </c>
      <c r="U41" s="1">
        <v>6</v>
      </c>
      <c r="V41" s="1">
        <v>6.5</v>
      </c>
      <c r="W41" s="1">
        <v>7.5</v>
      </c>
      <c r="X41" s="1">
        <v>1</v>
      </c>
      <c r="Y41" s="1">
        <v>1</v>
      </c>
      <c r="Z41" s="1">
        <v>12</v>
      </c>
      <c r="AA41" s="1">
        <v>15</v>
      </c>
      <c r="AB41" s="1">
        <v>9</v>
      </c>
      <c r="AC41" s="1">
        <v>26</v>
      </c>
      <c r="AD41" s="1" t="s">
        <v>41</v>
      </c>
      <c r="AE41" s="1">
        <v>4</v>
      </c>
    </row>
    <row r="42" spans="1:31" x14ac:dyDescent="0.25">
      <c r="A42" s="1">
        <v>1</v>
      </c>
      <c r="B42" s="4">
        <v>31502</v>
      </c>
      <c r="C42" s="1" t="s">
        <v>31</v>
      </c>
      <c r="D42" s="1">
        <v>15</v>
      </c>
      <c r="E42" s="1">
        <v>15</v>
      </c>
      <c r="F42">
        <v>0.93333333333333324</v>
      </c>
      <c r="G42" s="1">
        <v>6.6666666666666596E-2</v>
      </c>
      <c r="H42" s="1">
        <v>9.1999999999999993</v>
      </c>
      <c r="I42" s="1">
        <v>0.26666666666666661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4</v>
      </c>
      <c r="P42" s="1">
        <v>0</v>
      </c>
      <c r="Q42" s="1">
        <v>0</v>
      </c>
      <c r="R42" s="1">
        <v>0</v>
      </c>
      <c r="S42" s="1">
        <v>12</v>
      </c>
      <c r="T42" s="1">
        <v>6</v>
      </c>
      <c r="U42" s="1">
        <v>5</v>
      </c>
      <c r="V42" s="1">
        <v>9</v>
      </c>
      <c r="W42" s="1">
        <v>8.5</v>
      </c>
      <c r="X42" s="1">
        <v>0.25</v>
      </c>
      <c r="Y42" s="1">
        <v>2</v>
      </c>
      <c r="Z42" s="1">
        <v>15</v>
      </c>
      <c r="AA42" s="1">
        <v>9</v>
      </c>
      <c r="AB42" s="1">
        <v>10</v>
      </c>
      <c r="AC42" s="1">
        <v>49</v>
      </c>
      <c r="AD42" s="1" t="s">
        <v>42</v>
      </c>
      <c r="AE42" s="1">
        <v>1</v>
      </c>
    </row>
    <row r="43" spans="1:31" x14ac:dyDescent="0.25">
      <c r="A43" s="1">
        <v>1</v>
      </c>
      <c r="B43" s="4">
        <v>31593</v>
      </c>
      <c r="C43" s="1" t="s">
        <v>31</v>
      </c>
      <c r="D43" s="1">
        <v>9</v>
      </c>
      <c r="E43" s="1">
        <v>9</v>
      </c>
      <c r="F43">
        <v>0.44444444444444442</v>
      </c>
      <c r="G43" s="1">
        <v>0.55555555555555558</v>
      </c>
      <c r="H43" s="1">
        <v>7</v>
      </c>
      <c r="I43" s="1">
        <v>0.44444444444444442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1</v>
      </c>
      <c r="Q43" s="1">
        <v>0</v>
      </c>
      <c r="R43" s="1">
        <v>2</v>
      </c>
      <c r="S43" s="1">
        <v>15</v>
      </c>
      <c r="T43" s="1">
        <v>12</v>
      </c>
      <c r="U43" s="1">
        <v>3</v>
      </c>
      <c r="V43" s="1">
        <v>10.5</v>
      </c>
      <c r="W43" s="1">
        <v>8.875</v>
      </c>
      <c r="X43" s="1">
        <v>-0.4</v>
      </c>
      <c r="Y43" s="1">
        <v>2</v>
      </c>
      <c r="Z43" s="1">
        <v>9</v>
      </c>
      <c r="AA43" s="1">
        <v>10</v>
      </c>
      <c r="AB43" s="1">
        <v>10</v>
      </c>
      <c r="AC43" s="1">
        <v>49</v>
      </c>
      <c r="AD43" s="1" t="s">
        <v>42</v>
      </c>
      <c r="AE43" s="1">
        <v>2</v>
      </c>
    </row>
    <row r="44" spans="1:31" x14ac:dyDescent="0.25">
      <c r="A44" s="1">
        <v>1</v>
      </c>
      <c r="B44" s="4">
        <v>31685</v>
      </c>
      <c r="C44" s="1" t="s">
        <v>31</v>
      </c>
      <c r="D44" s="1">
        <v>10</v>
      </c>
      <c r="E44" s="1">
        <v>10</v>
      </c>
      <c r="F44">
        <v>0.8</v>
      </c>
      <c r="G44" s="1">
        <v>0.2</v>
      </c>
      <c r="H44" s="1">
        <v>5.6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9</v>
      </c>
      <c r="T44" s="1">
        <v>15</v>
      </c>
      <c r="U44" s="1">
        <v>6</v>
      </c>
      <c r="V44" s="1">
        <v>11.5</v>
      </c>
      <c r="W44" s="1">
        <v>8.25</v>
      </c>
      <c r="X44" s="1">
        <v>0.1111111111111111</v>
      </c>
      <c r="Y44" s="1">
        <v>0.66666666666666674</v>
      </c>
      <c r="Z44" s="1">
        <v>10</v>
      </c>
      <c r="AA44" s="1">
        <v>15</v>
      </c>
      <c r="AB44" s="1">
        <v>10</v>
      </c>
      <c r="AC44" s="1">
        <v>49</v>
      </c>
      <c r="AD44" s="1" t="s">
        <v>42</v>
      </c>
      <c r="AE44" s="1">
        <v>3</v>
      </c>
    </row>
    <row r="45" spans="1:31" x14ac:dyDescent="0.25">
      <c r="A45" s="1">
        <v>1</v>
      </c>
      <c r="B45" s="4">
        <v>31777</v>
      </c>
      <c r="C45" s="1" t="s">
        <v>31</v>
      </c>
      <c r="D45" s="1">
        <v>15</v>
      </c>
      <c r="E45" s="1">
        <v>15</v>
      </c>
      <c r="F45">
        <v>0.8</v>
      </c>
      <c r="G45" s="1">
        <v>0.2</v>
      </c>
      <c r="H45" s="1">
        <v>8.8000000000000007</v>
      </c>
      <c r="I45" s="1">
        <v>0.26666666666666661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3</v>
      </c>
      <c r="P45" s="1">
        <v>0</v>
      </c>
      <c r="Q45" s="1">
        <v>0</v>
      </c>
      <c r="R45" s="1">
        <v>1</v>
      </c>
      <c r="S45" s="1">
        <v>10</v>
      </c>
      <c r="T45" s="1">
        <v>9</v>
      </c>
      <c r="U45" s="1">
        <v>12</v>
      </c>
      <c r="V45" s="1">
        <v>12.25</v>
      </c>
      <c r="W45" s="1">
        <v>9.375</v>
      </c>
      <c r="X45" s="1">
        <v>0.5</v>
      </c>
      <c r="Y45" s="1">
        <v>0.25</v>
      </c>
      <c r="Z45" s="1">
        <v>15</v>
      </c>
      <c r="AA45" s="1">
        <v>9</v>
      </c>
      <c r="AB45" s="1">
        <v>10</v>
      </c>
      <c r="AC45" s="1">
        <v>49</v>
      </c>
      <c r="AD45" s="1" t="s">
        <v>42</v>
      </c>
      <c r="AE45" s="1">
        <v>4</v>
      </c>
    </row>
    <row r="46" spans="1:31" x14ac:dyDescent="0.25">
      <c r="A46" s="1">
        <v>1</v>
      </c>
      <c r="B46" s="4">
        <v>31867</v>
      </c>
      <c r="C46" s="1" t="s">
        <v>31</v>
      </c>
      <c r="D46" s="1">
        <v>9</v>
      </c>
      <c r="E46" s="1">
        <v>9</v>
      </c>
      <c r="F46">
        <v>1</v>
      </c>
      <c r="G46" s="1">
        <v>0</v>
      </c>
      <c r="H46" s="1">
        <v>11.111111111111111</v>
      </c>
      <c r="I46" s="1">
        <v>0.88888888888888884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6</v>
      </c>
      <c r="P46" s="1">
        <v>2</v>
      </c>
      <c r="Q46" s="1">
        <v>0</v>
      </c>
      <c r="R46" s="1">
        <v>0</v>
      </c>
      <c r="S46" s="1">
        <v>15</v>
      </c>
      <c r="T46" s="1">
        <v>10</v>
      </c>
      <c r="U46" s="1">
        <v>15</v>
      </c>
      <c r="V46" s="1">
        <v>10.75</v>
      </c>
      <c r="W46" s="1">
        <v>9.875</v>
      </c>
      <c r="X46" s="1">
        <v>-0.4</v>
      </c>
      <c r="Y46" s="1">
        <v>-0.4</v>
      </c>
      <c r="Z46" s="1">
        <v>9</v>
      </c>
      <c r="AA46" s="1">
        <v>12</v>
      </c>
      <c r="AB46" s="1">
        <v>11</v>
      </c>
      <c r="AC46" s="1">
        <v>42</v>
      </c>
      <c r="AD46" s="1" t="s">
        <v>43</v>
      </c>
      <c r="AE46" s="1">
        <v>1</v>
      </c>
    </row>
    <row r="47" spans="1:31" x14ac:dyDescent="0.25">
      <c r="A47" s="1">
        <v>1</v>
      </c>
      <c r="B47" s="4">
        <v>31958</v>
      </c>
      <c r="C47" s="1" t="s">
        <v>31</v>
      </c>
      <c r="D47" s="1">
        <v>12</v>
      </c>
      <c r="E47" s="1">
        <v>12</v>
      </c>
      <c r="F47">
        <v>1</v>
      </c>
      <c r="G47" s="1">
        <v>0</v>
      </c>
      <c r="H47" s="1">
        <v>10.333333333333334</v>
      </c>
      <c r="I47" s="1">
        <v>0.1666666666666666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</v>
      </c>
      <c r="P47" s="1">
        <v>0</v>
      </c>
      <c r="Q47" s="1">
        <v>0</v>
      </c>
      <c r="R47" s="1">
        <v>0</v>
      </c>
      <c r="S47" s="1">
        <v>9</v>
      </c>
      <c r="T47" s="1">
        <v>15</v>
      </c>
      <c r="U47" s="1">
        <v>9</v>
      </c>
      <c r="V47" s="1">
        <v>11.5</v>
      </c>
      <c r="W47" s="1">
        <v>11</v>
      </c>
      <c r="X47" s="1">
        <v>0.3333333333333332</v>
      </c>
      <c r="Y47" s="1">
        <v>0.3333333333333332</v>
      </c>
      <c r="Z47" s="1">
        <v>12</v>
      </c>
      <c r="AA47" s="1">
        <v>11</v>
      </c>
      <c r="AB47" s="1">
        <v>11</v>
      </c>
      <c r="AC47" s="1">
        <v>42</v>
      </c>
      <c r="AD47" s="1" t="s">
        <v>43</v>
      </c>
      <c r="AE47" s="1">
        <v>2</v>
      </c>
    </row>
    <row r="48" spans="1:31" x14ac:dyDescent="0.25">
      <c r="A48" s="1">
        <v>1</v>
      </c>
      <c r="B48" s="4">
        <v>32050</v>
      </c>
      <c r="C48" s="1" t="s">
        <v>31</v>
      </c>
      <c r="D48" s="1">
        <v>11</v>
      </c>
      <c r="E48" s="1">
        <v>11</v>
      </c>
      <c r="F48">
        <v>0.81818181818181823</v>
      </c>
      <c r="G48" s="1">
        <v>0.1818181818181818</v>
      </c>
      <c r="H48" s="1">
        <v>6.5454545454545459</v>
      </c>
      <c r="I48" s="1">
        <v>0.1818181818181818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</v>
      </c>
      <c r="P48" s="1">
        <v>0</v>
      </c>
      <c r="Q48" s="1">
        <v>0</v>
      </c>
      <c r="R48" s="1">
        <v>0</v>
      </c>
      <c r="S48" s="1">
        <v>12</v>
      </c>
      <c r="T48" s="1">
        <v>9</v>
      </c>
      <c r="U48" s="1">
        <v>10</v>
      </c>
      <c r="V48" s="1">
        <v>11.75</v>
      </c>
      <c r="W48" s="1">
        <v>11.625</v>
      </c>
      <c r="X48" s="1">
        <v>-8.3333333333333301E-2</v>
      </c>
      <c r="Y48" s="1">
        <v>0.1</v>
      </c>
      <c r="Z48" s="1">
        <v>11</v>
      </c>
      <c r="AA48" s="1">
        <v>10</v>
      </c>
      <c r="AB48" s="1">
        <v>11</v>
      </c>
      <c r="AC48" s="1">
        <v>42</v>
      </c>
      <c r="AD48" s="1" t="s">
        <v>43</v>
      </c>
      <c r="AE48" s="1">
        <v>3</v>
      </c>
    </row>
    <row r="49" spans="1:31" x14ac:dyDescent="0.25">
      <c r="A49" s="1">
        <v>1</v>
      </c>
      <c r="B49" s="4">
        <v>32142</v>
      </c>
      <c r="C49" s="1" t="s">
        <v>31</v>
      </c>
      <c r="D49" s="1">
        <v>10</v>
      </c>
      <c r="E49" s="1">
        <v>10</v>
      </c>
      <c r="F49">
        <v>1</v>
      </c>
      <c r="G49" s="1">
        <v>0</v>
      </c>
      <c r="H49" s="1">
        <v>10.4</v>
      </c>
      <c r="I49" s="1">
        <v>0.4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4</v>
      </c>
      <c r="P49" s="1">
        <v>0</v>
      </c>
      <c r="Q49" s="1">
        <v>0</v>
      </c>
      <c r="R49" s="1">
        <v>0</v>
      </c>
      <c r="S49" s="1">
        <v>11</v>
      </c>
      <c r="T49" s="1">
        <v>12</v>
      </c>
      <c r="U49" s="1">
        <v>15</v>
      </c>
      <c r="V49" s="1">
        <v>10.5</v>
      </c>
      <c r="W49" s="1">
        <v>11.375</v>
      </c>
      <c r="X49" s="1">
        <v>-9.0909090909090898E-2</v>
      </c>
      <c r="Y49" s="1">
        <v>-0.33333333333333331</v>
      </c>
      <c r="Z49" s="1">
        <v>10</v>
      </c>
      <c r="AA49" s="1">
        <v>13</v>
      </c>
      <c r="AB49" s="1">
        <v>11</v>
      </c>
      <c r="AC49" s="1">
        <v>42</v>
      </c>
      <c r="AD49" s="1" t="s">
        <v>43</v>
      </c>
      <c r="AE49" s="1">
        <v>4</v>
      </c>
    </row>
    <row r="50" spans="1:31" x14ac:dyDescent="0.25">
      <c r="A50" s="1">
        <v>1</v>
      </c>
      <c r="B50" s="4">
        <v>32233</v>
      </c>
      <c r="C50" s="1" t="s">
        <v>31</v>
      </c>
      <c r="D50" s="1">
        <v>13</v>
      </c>
      <c r="E50" s="1">
        <v>13</v>
      </c>
      <c r="F50">
        <v>0.84615384615384615</v>
      </c>
      <c r="G50" s="1">
        <v>0.1538461538461538</v>
      </c>
      <c r="H50" s="1">
        <v>6.9230769230769234</v>
      </c>
      <c r="I50" s="1">
        <v>0.30769230769230771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3</v>
      </c>
      <c r="P50" s="1">
        <v>0</v>
      </c>
      <c r="Q50" s="1">
        <v>0</v>
      </c>
      <c r="R50" s="1">
        <v>1</v>
      </c>
      <c r="S50" s="1">
        <v>10</v>
      </c>
      <c r="T50" s="1">
        <v>11</v>
      </c>
      <c r="U50" s="1">
        <v>9</v>
      </c>
      <c r="V50" s="1">
        <v>11.5</v>
      </c>
      <c r="W50" s="1">
        <v>11.125</v>
      </c>
      <c r="X50" s="1">
        <v>0.3</v>
      </c>
      <c r="Y50" s="1">
        <v>0.44444444444444442</v>
      </c>
      <c r="Z50" s="1">
        <v>13</v>
      </c>
      <c r="AA50" s="1">
        <v>9</v>
      </c>
      <c r="AB50" s="1">
        <v>12</v>
      </c>
      <c r="AC50" s="1">
        <v>40</v>
      </c>
      <c r="AD50" s="1" t="s">
        <v>44</v>
      </c>
      <c r="AE50" s="1">
        <v>1</v>
      </c>
    </row>
    <row r="51" spans="1:31" x14ac:dyDescent="0.25">
      <c r="A51" s="1">
        <v>1</v>
      </c>
      <c r="B51" s="4">
        <v>32324</v>
      </c>
      <c r="C51" s="1" t="s">
        <v>31</v>
      </c>
      <c r="D51" s="1">
        <v>9</v>
      </c>
      <c r="E51" s="1">
        <v>9</v>
      </c>
      <c r="F51">
        <v>1</v>
      </c>
      <c r="G51" s="1">
        <v>0</v>
      </c>
      <c r="H51" s="1">
        <v>9.1111111111111107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13</v>
      </c>
      <c r="T51" s="1">
        <v>10</v>
      </c>
      <c r="U51" s="1">
        <v>12</v>
      </c>
      <c r="V51" s="1">
        <v>10.75</v>
      </c>
      <c r="W51" s="1">
        <v>11.125</v>
      </c>
      <c r="X51" s="1">
        <v>-0.30769230769230771</v>
      </c>
      <c r="Y51" s="1">
        <v>-0.25</v>
      </c>
      <c r="Z51" s="1">
        <v>9</v>
      </c>
      <c r="AA51" s="1">
        <v>9</v>
      </c>
      <c r="AB51" s="1">
        <v>12</v>
      </c>
      <c r="AC51" s="1">
        <v>40</v>
      </c>
      <c r="AD51" s="1" t="s">
        <v>44</v>
      </c>
      <c r="AE51" s="1">
        <v>2</v>
      </c>
    </row>
    <row r="52" spans="1:31" x14ac:dyDescent="0.25">
      <c r="A52" s="1">
        <v>1</v>
      </c>
      <c r="B52" s="4">
        <v>32416</v>
      </c>
      <c r="C52" s="1" t="s">
        <v>31</v>
      </c>
      <c r="D52" s="1">
        <v>9</v>
      </c>
      <c r="E52" s="1">
        <v>9</v>
      </c>
      <c r="F52">
        <v>1</v>
      </c>
      <c r="G52" s="1">
        <v>0</v>
      </c>
      <c r="H52" s="1">
        <v>7.666666666666667</v>
      </c>
      <c r="I52" s="1">
        <v>0.33333333333333331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</v>
      </c>
      <c r="P52" s="1">
        <v>0</v>
      </c>
      <c r="Q52" s="1">
        <v>0</v>
      </c>
      <c r="R52" s="1">
        <v>1</v>
      </c>
      <c r="S52" s="1">
        <v>9</v>
      </c>
      <c r="T52" s="1">
        <v>13</v>
      </c>
      <c r="U52" s="1">
        <v>11</v>
      </c>
      <c r="V52" s="1">
        <v>10.25</v>
      </c>
      <c r="W52" s="1">
        <v>11</v>
      </c>
      <c r="X52" s="1">
        <v>0</v>
      </c>
      <c r="Y52" s="1">
        <v>-0.18181818181818171</v>
      </c>
      <c r="Z52" s="1">
        <v>9</v>
      </c>
      <c r="AA52" s="1">
        <v>9</v>
      </c>
      <c r="AB52" s="1">
        <v>12</v>
      </c>
      <c r="AC52" s="1">
        <v>40</v>
      </c>
      <c r="AD52" s="1" t="s">
        <v>44</v>
      </c>
      <c r="AE52" s="1">
        <v>3</v>
      </c>
    </row>
    <row r="53" spans="1:31" x14ac:dyDescent="0.25">
      <c r="A53" s="1">
        <v>1</v>
      </c>
      <c r="B53" s="4">
        <v>32508</v>
      </c>
      <c r="C53" s="1" t="s">
        <v>31</v>
      </c>
      <c r="D53" s="1">
        <v>9</v>
      </c>
      <c r="E53" s="1">
        <v>9</v>
      </c>
      <c r="F53">
        <v>1</v>
      </c>
      <c r="G53" s="1">
        <v>0</v>
      </c>
      <c r="H53" s="1">
        <v>8.5555555555555554</v>
      </c>
      <c r="I53" s="1">
        <v>0.44444444444444442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3</v>
      </c>
      <c r="P53" s="1">
        <v>0</v>
      </c>
      <c r="Q53" s="1">
        <v>1</v>
      </c>
      <c r="R53" s="1">
        <v>0</v>
      </c>
      <c r="S53" s="1">
        <v>9</v>
      </c>
      <c r="T53" s="1">
        <v>9</v>
      </c>
      <c r="U53" s="1">
        <v>10</v>
      </c>
      <c r="V53" s="1">
        <v>10</v>
      </c>
      <c r="W53" s="1">
        <v>10.25</v>
      </c>
      <c r="X53" s="1">
        <v>0</v>
      </c>
      <c r="Y53" s="1">
        <v>-9.9999999999999895E-2</v>
      </c>
      <c r="Z53" s="1">
        <v>9</v>
      </c>
      <c r="AA53" s="1">
        <v>8</v>
      </c>
      <c r="AB53" s="1">
        <v>12</v>
      </c>
      <c r="AC53" s="1">
        <v>40</v>
      </c>
      <c r="AD53" s="1" t="s">
        <v>44</v>
      </c>
      <c r="AE53" s="1">
        <v>4</v>
      </c>
    </row>
    <row r="54" spans="1:31" x14ac:dyDescent="0.25">
      <c r="A54" s="1">
        <v>1</v>
      </c>
      <c r="B54" s="4">
        <v>32598</v>
      </c>
      <c r="C54" s="1" t="s">
        <v>31</v>
      </c>
      <c r="D54" s="1">
        <v>8</v>
      </c>
      <c r="E54" s="1">
        <v>8</v>
      </c>
      <c r="F54">
        <v>1</v>
      </c>
      <c r="G54" s="1">
        <v>0</v>
      </c>
      <c r="H54" s="1">
        <v>6.125</v>
      </c>
      <c r="I54" s="1">
        <v>0.5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3</v>
      </c>
      <c r="P54" s="1">
        <v>0</v>
      </c>
      <c r="Q54" s="1">
        <v>0</v>
      </c>
      <c r="R54" s="1">
        <v>1</v>
      </c>
      <c r="S54" s="1">
        <v>9</v>
      </c>
      <c r="T54" s="1">
        <v>9</v>
      </c>
      <c r="U54" s="1">
        <v>13</v>
      </c>
      <c r="V54" s="1">
        <v>8.75</v>
      </c>
      <c r="W54" s="1">
        <v>10.125</v>
      </c>
      <c r="X54" s="1">
        <v>-0.1111111111111111</v>
      </c>
      <c r="Y54" s="1">
        <v>-0.38461538461538458</v>
      </c>
      <c r="Z54" s="1">
        <v>8</v>
      </c>
      <c r="AA54" s="1">
        <v>4</v>
      </c>
      <c r="AB54" s="1">
        <v>13</v>
      </c>
      <c r="AC54" s="1">
        <v>29</v>
      </c>
      <c r="AD54" s="1" t="s">
        <v>45</v>
      </c>
      <c r="AE54" s="1">
        <v>1</v>
      </c>
    </row>
    <row r="55" spans="1:31" x14ac:dyDescent="0.25">
      <c r="A55" s="1">
        <v>1</v>
      </c>
      <c r="B55" s="4">
        <v>32689</v>
      </c>
      <c r="C55" s="1" t="s">
        <v>31</v>
      </c>
      <c r="D55" s="1">
        <v>4</v>
      </c>
      <c r="E55" s="1">
        <v>4</v>
      </c>
      <c r="F55">
        <v>0.75</v>
      </c>
      <c r="G55" s="1">
        <v>0.25</v>
      </c>
      <c r="H55" s="1">
        <v>7.5</v>
      </c>
      <c r="I55" s="1">
        <v>0.5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1</v>
      </c>
      <c r="Q55" s="1">
        <v>0</v>
      </c>
      <c r="R55" s="1">
        <v>0</v>
      </c>
      <c r="S55" s="1">
        <v>8</v>
      </c>
      <c r="T55" s="1">
        <v>9</v>
      </c>
      <c r="U55" s="1">
        <v>9</v>
      </c>
      <c r="V55" s="1">
        <v>7.5</v>
      </c>
      <c r="W55" s="1">
        <v>9.125</v>
      </c>
      <c r="X55" s="1">
        <v>-0.5</v>
      </c>
      <c r="Y55" s="1">
        <v>-0.55555555555555558</v>
      </c>
      <c r="Z55" s="1">
        <v>4</v>
      </c>
      <c r="AA55" s="1">
        <v>14</v>
      </c>
      <c r="AB55" s="1">
        <v>13</v>
      </c>
      <c r="AC55" s="1">
        <v>29</v>
      </c>
      <c r="AD55" s="1" t="s">
        <v>45</v>
      </c>
      <c r="AE55" s="1">
        <v>2</v>
      </c>
    </row>
    <row r="56" spans="1:31" x14ac:dyDescent="0.25">
      <c r="A56" s="1">
        <v>1</v>
      </c>
      <c r="B56" s="4">
        <v>32781</v>
      </c>
      <c r="C56" s="1" t="s">
        <v>31</v>
      </c>
      <c r="D56" s="1">
        <v>14</v>
      </c>
      <c r="E56" s="1">
        <v>14</v>
      </c>
      <c r="F56">
        <v>1</v>
      </c>
      <c r="G56" s="1">
        <v>0</v>
      </c>
      <c r="H56" s="1">
        <v>13.571428571428571</v>
      </c>
      <c r="I56" s="1">
        <v>0.5714285714285714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5</v>
      </c>
      <c r="P56" s="1">
        <v>2</v>
      </c>
      <c r="Q56" s="1">
        <v>0</v>
      </c>
      <c r="R56" s="1">
        <v>1</v>
      </c>
      <c r="S56" s="1">
        <v>4</v>
      </c>
      <c r="T56" s="1">
        <v>8</v>
      </c>
      <c r="U56" s="1">
        <v>9</v>
      </c>
      <c r="V56" s="1">
        <v>8.75</v>
      </c>
      <c r="W56" s="1">
        <v>9.5</v>
      </c>
      <c r="X56" s="1">
        <v>2.5</v>
      </c>
      <c r="Y56" s="1">
        <v>0.55555555555555558</v>
      </c>
      <c r="Z56" s="1">
        <v>14</v>
      </c>
      <c r="AA56" s="1">
        <v>3</v>
      </c>
      <c r="AB56" s="1">
        <v>13</v>
      </c>
      <c r="AC56" s="1">
        <v>29</v>
      </c>
      <c r="AD56" s="1" t="s">
        <v>45</v>
      </c>
      <c r="AE56" s="1">
        <v>3</v>
      </c>
    </row>
    <row r="57" spans="1:31" x14ac:dyDescent="0.25">
      <c r="A57" s="1">
        <v>1</v>
      </c>
      <c r="B57" s="4">
        <v>32873</v>
      </c>
      <c r="C57" s="1" t="s">
        <v>31</v>
      </c>
      <c r="D57" s="1">
        <v>3</v>
      </c>
      <c r="E57" s="1">
        <v>3</v>
      </c>
      <c r="F57">
        <v>1</v>
      </c>
      <c r="G57" s="1">
        <v>0</v>
      </c>
      <c r="H57" s="1">
        <v>11</v>
      </c>
      <c r="I57" s="1">
        <v>0.66666666666666663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2</v>
      </c>
      <c r="P57" s="1">
        <v>0</v>
      </c>
      <c r="Q57" s="1">
        <v>0</v>
      </c>
      <c r="R57" s="1">
        <v>0</v>
      </c>
      <c r="S57" s="1">
        <v>14</v>
      </c>
      <c r="T57" s="1">
        <v>4</v>
      </c>
      <c r="U57" s="1">
        <v>9</v>
      </c>
      <c r="V57" s="1">
        <v>7.25</v>
      </c>
      <c r="W57" s="1">
        <v>8.625</v>
      </c>
      <c r="X57" s="1">
        <v>-0.7857142857142857</v>
      </c>
      <c r="Y57" s="1">
        <v>-0.66666666666666674</v>
      </c>
      <c r="Z57" s="1">
        <v>3</v>
      </c>
      <c r="AA57" s="1">
        <v>6</v>
      </c>
      <c r="AB57" s="1">
        <v>13</v>
      </c>
      <c r="AC57" s="1">
        <v>29</v>
      </c>
      <c r="AD57" s="1" t="s">
        <v>45</v>
      </c>
      <c r="AE57" s="1">
        <v>4</v>
      </c>
    </row>
    <row r="58" spans="1:31" x14ac:dyDescent="0.25">
      <c r="A58" s="1">
        <v>1</v>
      </c>
      <c r="B58" s="4">
        <v>32963</v>
      </c>
      <c r="C58" s="1" t="s">
        <v>46</v>
      </c>
      <c r="D58" s="1">
        <v>6</v>
      </c>
      <c r="E58" s="1">
        <v>6</v>
      </c>
      <c r="F58">
        <v>0.66666666666666663</v>
      </c>
      <c r="G58" s="1">
        <v>0.33333333333333331</v>
      </c>
      <c r="H58" s="1">
        <v>8.5</v>
      </c>
      <c r="I58" s="1">
        <v>0.66666666666666663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3</v>
      </c>
      <c r="P58" s="1">
        <v>0</v>
      </c>
      <c r="Q58" s="1">
        <v>0</v>
      </c>
      <c r="R58" s="1">
        <v>1</v>
      </c>
      <c r="S58" s="1">
        <v>3</v>
      </c>
      <c r="T58" s="1">
        <v>14</v>
      </c>
      <c r="U58" s="1">
        <v>8</v>
      </c>
      <c r="V58" s="1">
        <v>6.75</v>
      </c>
      <c r="W58" s="1">
        <v>7.75</v>
      </c>
      <c r="X58" s="1">
        <v>1</v>
      </c>
      <c r="Y58" s="1">
        <v>-0.25</v>
      </c>
      <c r="Z58" s="1">
        <v>6</v>
      </c>
      <c r="AA58" s="1">
        <v>6</v>
      </c>
      <c r="AB58" s="1">
        <v>14</v>
      </c>
      <c r="AC58" s="1">
        <v>33</v>
      </c>
      <c r="AD58" s="1" t="s">
        <v>47</v>
      </c>
      <c r="AE58" s="1">
        <v>1</v>
      </c>
    </row>
    <row r="59" spans="1:31" x14ac:dyDescent="0.25">
      <c r="A59" s="1">
        <v>1</v>
      </c>
      <c r="B59" s="4">
        <v>33054</v>
      </c>
      <c r="C59" s="1" t="s">
        <v>46</v>
      </c>
      <c r="D59" s="1">
        <v>6</v>
      </c>
      <c r="E59" s="1">
        <v>6</v>
      </c>
      <c r="F59">
        <v>0.83333333333333337</v>
      </c>
      <c r="G59" s="1">
        <v>0.1666666666666666</v>
      </c>
      <c r="H59" s="1">
        <v>14.166666666666666</v>
      </c>
      <c r="I59" s="1">
        <v>0.83333333333333337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3</v>
      </c>
      <c r="P59" s="1">
        <v>0</v>
      </c>
      <c r="Q59" s="1">
        <v>0</v>
      </c>
      <c r="R59" s="1">
        <v>2</v>
      </c>
      <c r="S59" s="1">
        <v>6</v>
      </c>
      <c r="T59" s="1">
        <v>3</v>
      </c>
      <c r="U59" s="1">
        <v>4</v>
      </c>
      <c r="V59" s="1">
        <v>7.25</v>
      </c>
      <c r="W59" s="1">
        <v>7.375</v>
      </c>
      <c r="X59" s="1">
        <v>0</v>
      </c>
      <c r="Y59" s="1">
        <v>0.5</v>
      </c>
      <c r="Z59" s="1">
        <v>6</v>
      </c>
      <c r="AA59" s="1">
        <v>14</v>
      </c>
      <c r="AB59" s="1">
        <v>14</v>
      </c>
      <c r="AC59" s="1">
        <v>33</v>
      </c>
      <c r="AD59" s="1" t="s">
        <v>47</v>
      </c>
      <c r="AE59" s="1">
        <v>2</v>
      </c>
    </row>
    <row r="60" spans="1:31" x14ac:dyDescent="0.25">
      <c r="A60" s="1">
        <v>1</v>
      </c>
      <c r="B60" s="4">
        <v>33146</v>
      </c>
      <c r="C60" s="1" t="s">
        <v>46</v>
      </c>
      <c r="D60" s="1">
        <v>14</v>
      </c>
      <c r="E60" s="1">
        <v>14</v>
      </c>
      <c r="F60">
        <v>0.7142857142857143</v>
      </c>
      <c r="G60" s="1">
        <v>0.2857142857142857</v>
      </c>
      <c r="H60" s="1">
        <v>9.0714285714285712</v>
      </c>
      <c r="I60" s="1">
        <v>0.42857142857142849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3</v>
      </c>
      <c r="P60" s="1">
        <v>2</v>
      </c>
      <c r="Q60" s="1">
        <v>1</v>
      </c>
      <c r="R60" s="1">
        <v>0</v>
      </c>
      <c r="S60" s="1">
        <v>6</v>
      </c>
      <c r="T60" s="1">
        <v>6</v>
      </c>
      <c r="U60" s="1">
        <v>14</v>
      </c>
      <c r="V60" s="1">
        <v>7.25</v>
      </c>
      <c r="W60" s="1">
        <v>8</v>
      </c>
      <c r="X60" s="1">
        <v>1.3333333333333337</v>
      </c>
      <c r="Y60" s="1">
        <v>0</v>
      </c>
      <c r="Z60" s="1">
        <v>14</v>
      </c>
      <c r="AA60" s="1">
        <v>7</v>
      </c>
      <c r="AB60" s="1">
        <v>14</v>
      </c>
      <c r="AC60" s="1">
        <v>33</v>
      </c>
      <c r="AD60" s="1" t="s">
        <v>47</v>
      </c>
      <c r="AE60" s="1">
        <v>3</v>
      </c>
    </row>
    <row r="61" spans="1:31" x14ac:dyDescent="0.25">
      <c r="A61" s="1">
        <v>1</v>
      </c>
      <c r="B61" s="4">
        <v>33238</v>
      </c>
      <c r="C61" s="1" t="s">
        <v>46</v>
      </c>
      <c r="D61" s="1">
        <v>7</v>
      </c>
      <c r="E61" s="1">
        <v>7</v>
      </c>
      <c r="F61">
        <v>0.8571428571428571</v>
      </c>
      <c r="G61" s="1">
        <v>0.14285714285714279</v>
      </c>
      <c r="H61" s="1">
        <v>9.8571428571428577</v>
      </c>
      <c r="I61" s="1">
        <v>0.7142857142857143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3</v>
      </c>
      <c r="P61" s="1">
        <v>1</v>
      </c>
      <c r="Q61" s="1">
        <v>0</v>
      </c>
      <c r="R61" s="1">
        <v>1</v>
      </c>
      <c r="S61" s="1">
        <v>14</v>
      </c>
      <c r="T61" s="1">
        <v>6</v>
      </c>
      <c r="U61" s="1">
        <v>3</v>
      </c>
      <c r="V61" s="1">
        <v>8.25</v>
      </c>
      <c r="W61" s="1">
        <v>7.75</v>
      </c>
      <c r="X61" s="1">
        <v>-0.5</v>
      </c>
      <c r="Y61" s="1">
        <v>1.3333333333333337</v>
      </c>
      <c r="Z61" s="1">
        <v>7</v>
      </c>
      <c r="AA61" s="1">
        <v>9</v>
      </c>
      <c r="AB61" s="1">
        <v>14</v>
      </c>
      <c r="AC61" s="1">
        <v>33</v>
      </c>
      <c r="AD61" s="1" t="s">
        <v>47</v>
      </c>
      <c r="AE61" s="1">
        <v>4</v>
      </c>
    </row>
    <row r="62" spans="1:31" x14ac:dyDescent="0.25">
      <c r="A62" s="1">
        <v>1</v>
      </c>
      <c r="B62" s="4">
        <v>33328</v>
      </c>
      <c r="C62" s="1" t="s">
        <v>46</v>
      </c>
      <c r="D62" s="1">
        <v>9</v>
      </c>
      <c r="E62" s="1">
        <v>9</v>
      </c>
      <c r="F62">
        <v>0.88888888888888884</v>
      </c>
      <c r="G62" s="1">
        <v>0.1111111111111111</v>
      </c>
      <c r="H62" s="1">
        <v>10.77777777777778</v>
      </c>
      <c r="I62" s="1">
        <v>0.44444444444444442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3</v>
      </c>
      <c r="P62" s="1">
        <v>0</v>
      </c>
      <c r="Q62" s="1">
        <v>0</v>
      </c>
      <c r="R62" s="1">
        <v>1</v>
      </c>
      <c r="S62" s="1">
        <v>7</v>
      </c>
      <c r="T62" s="1">
        <v>14</v>
      </c>
      <c r="U62" s="1">
        <v>6</v>
      </c>
      <c r="V62" s="1">
        <v>9</v>
      </c>
      <c r="W62" s="1">
        <v>7.875</v>
      </c>
      <c r="X62" s="1">
        <v>0.28571428571428581</v>
      </c>
      <c r="Y62" s="1">
        <v>0.5</v>
      </c>
      <c r="Z62" s="1">
        <v>9</v>
      </c>
      <c r="AA62" s="1">
        <v>7</v>
      </c>
      <c r="AB62" s="1">
        <v>15</v>
      </c>
      <c r="AC62" s="1">
        <v>40</v>
      </c>
      <c r="AD62" s="1" t="s">
        <v>48</v>
      </c>
      <c r="AE62" s="1">
        <v>1</v>
      </c>
    </row>
    <row r="63" spans="1:31" x14ac:dyDescent="0.25">
      <c r="A63" s="1">
        <v>1</v>
      </c>
      <c r="B63" s="4">
        <v>33419</v>
      </c>
      <c r="C63" s="1" t="s">
        <v>46</v>
      </c>
      <c r="D63" s="1">
        <v>7</v>
      </c>
      <c r="E63" s="1">
        <v>7</v>
      </c>
      <c r="F63">
        <v>1</v>
      </c>
      <c r="G63" s="1">
        <v>0</v>
      </c>
      <c r="H63" s="1">
        <v>12.714285714285714</v>
      </c>
      <c r="I63" s="1">
        <v>0.42857142857142849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</v>
      </c>
      <c r="P63" s="1">
        <v>0</v>
      </c>
      <c r="Q63" s="1">
        <v>0</v>
      </c>
      <c r="R63" s="1">
        <v>1</v>
      </c>
      <c r="S63" s="1">
        <v>9</v>
      </c>
      <c r="T63" s="1">
        <v>7</v>
      </c>
      <c r="U63" s="1">
        <v>6</v>
      </c>
      <c r="V63" s="1">
        <v>9.25</v>
      </c>
      <c r="W63" s="1">
        <v>8.25</v>
      </c>
      <c r="X63" s="1">
        <v>-0.22222222222222221</v>
      </c>
      <c r="Y63" s="1">
        <v>0.16666666666666671</v>
      </c>
      <c r="Z63" s="1">
        <v>7</v>
      </c>
      <c r="AA63" s="1">
        <v>12</v>
      </c>
      <c r="AB63" s="1">
        <v>15</v>
      </c>
      <c r="AC63" s="1">
        <v>40</v>
      </c>
      <c r="AD63" s="1" t="s">
        <v>48</v>
      </c>
      <c r="AE63" s="1">
        <v>2</v>
      </c>
    </row>
    <row r="64" spans="1:31" x14ac:dyDescent="0.25">
      <c r="A64" s="1">
        <v>1</v>
      </c>
      <c r="B64" s="4">
        <v>33511</v>
      </c>
      <c r="C64" s="1" t="s">
        <v>46</v>
      </c>
      <c r="D64" s="1">
        <v>12</v>
      </c>
      <c r="E64" s="1">
        <v>12</v>
      </c>
      <c r="F64">
        <v>1</v>
      </c>
      <c r="G64" s="1">
        <v>0</v>
      </c>
      <c r="H64" s="1">
        <v>7.583333333333333</v>
      </c>
      <c r="I64" s="1">
        <v>0.41666666666666669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3</v>
      </c>
      <c r="P64" s="1">
        <v>1</v>
      </c>
      <c r="Q64" s="1">
        <v>0</v>
      </c>
      <c r="R64" s="1">
        <v>1</v>
      </c>
      <c r="S64" s="1">
        <v>7</v>
      </c>
      <c r="T64" s="1">
        <v>9</v>
      </c>
      <c r="U64" s="1">
        <v>14</v>
      </c>
      <c r="V64" s="1">
        <v>8.75</v>
      </c>
      <c r="W64" s="1">
        <v>8</v>
      </c>
      <c r="X64" s="1">
        <v>0.71428571428571419</v>
      </c>
      <c r="Y64" s="1">
        <v>-0.1428571428571429</v>
      </c>
      <c r="Z64" s="1">
        <v>12</v>
      </c>
      <c r="AA64" s="1">
        <v>12</v>
      </c>
      <c r="AB64" s="1">
        <v>15</v>
      </c>
      <c r="AC64" s="1">
        <v>40</v>
      </c>
      <c r="AD64" s="1" t="s">
        <v>48</v>
      </c>
      <c r="AE64" s="1">
        <v>3</v>
      </c>
    </row>
    <row r="65" spans="1:31" x14ac:dyDescent="0.25">
      <c r="A65" s="1">
        <v>1</v>
      </c>
      <c r="B65" s="4">
        <v>33603</v>
      </c>
      <c r="C65" s="1" t="s">
        <v>46</v>
      </c>
      <c r="D65" s="1">
        <v>12</v>
      </c>
      <c r="E65" s="1">
        <v>12</v>
      </c>
      <c r="F65">
        <v>1</v>
      </c>
      <c r="G65" s="1">
        <v>0</v>
      </c>
      <c r="H65" s="1">
        <v>7.916666666666667</v>
      </c>
      <c r="I65" s="1">
        <v>0.41666666666666669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3</v>
      </c>
      <c r="P65" s="1">
        <v>0</v>
      </c>
      <c r="Q65" s="1">
        <v>0</v>
      </c>
      <c r="R65" s="1">
        <v>1</v>
      </c>
      <c r="S65" s="1">
        <v>12</v>
      </c>
      <c r="T65" s="1">
        <v>7</v>
      </c>
      <c r="U65" s="1">
        <v>7</v>
      </c>
      <c r="V65" s="1">
        <v>10</v>
      </c>
      <c r="W65" s="1">
        <v>9.125</v>
      </c>
      <c r="X65" s="1">
        <v>0</v>
      </c>
      <c r="Y65" s="1">
        <v>0.71428571428571419</v>
      </c>
      <c r="Z65" s="1">
        <v>12</v>
      </c>
      <c r="AA65" s="1">
        <v>11</v>
      </c>
      <c r="AB65" s="1">
        <v>15</v>
      </c>
      <c r="AC65" s="1">
        <v>40</v>
      </c>
      <c r="AD65" s="1" t="s">
        <v>48</v>
      </c>
      <c r="AE65" s="1">
        <v>4</v>
      </c>
    </row>
    <row r="66" spans="1:31" x14ac:dyDescent="0.25">
      <c r="A66" s="1">
        <v>1</v>
      </c>
      <c r="B66" s="4">
        <v>33694</v>
      </c>
      <c r="C66" s="1" t="s">
        <v>46</v>
      </c>
      <c r="D66" s="1">
        <v>11</v>
      </c>
      <c r="E66" s="1">
        <v>11</v>
      </c>
      <c r="F66">
        <v>1</v>
      </c>
      <c r="G66" s="1">
        <v>0</v>
      </c>
      <c r="H66" s="1">
        <v>8.9090909090909083</v>
      </c>
      <c r="I66" s="1">
        <v>0.45454545454545447</v>
      </c>
      <c r="J66" s="1">
        <v>0</v>
      </c>
      <c r="K66" s="1">
        <v>0</v>
      </c>
      <c r="L66" s="1">
        <v>0</v>
      </c>
      <c r="M66" s="1">
        <v>2</v>
      </c>
      <c r="N66" s="1">
        <v>0</v>
      </c>
      <c r="O66" s="1">
        <v>3</v>
      </c>
      <c r="P66" s="1">
        <v>0</v>
      </c>
      <c r="Q66" s="1">
        <v>0</v>
      </c>
      <c r="R66" s="1">
        <v>0</v>
      </c>
      <c r="S66" s="1">
        <v>12</v>
      </c>
      <c r="T66" s="1">
        <v>12</v>
      </c>
      <c r="U66" s="1">
        <v>9</v>
      </c>
      <c r="V66" s="1">
        <v>10.5</v>
      </c>
      <c r="W66" s="1">
        <v>9.75</v>
      </c>
      <c r="X66" s="1">
        <v>-8.3333333333333301E-2</v>
      </c>
      <c r="Y66" s="1">
        <v>0.22222222222222229</v>
      </c>
      <c r="Z66" s="1">
        <v>11</v>
      </c>
      <c r="AA66" s="1">
        <v>12</v>
      </c>
      <c r="AB66" s="1">
        <v>16</v>
      </c>
      <c r="AC66" s="1">
        <v>54</v>
      </c>
      <c r="AD66" s="1" t="s">
        <v>49</v>
      </c>
      <c r="AE66" s="1">
        <v>1</v>
      </c>
    </row>
    <row r="67" spans="1:31" x14ac:dyDescent="0.25">
      <c r="A67" s="1">
        <v>1</v>
      </c>
      <c r="B67" s="4">
        <v>33785</v>
      </c>
      <c r="C67" s="1" t="s">
        <v>46</v>
      </c>
      <c r="D67" s="1">
        <v>12</v>
      </c>
      <c r="E67" s="1">
        <v>12</v>
      </c>
      <c r="F67">
        <v>1</v>
      </c>
      <c r="G67" s="1">
        <v>0</v>
      </c>
      <c r="H67" s="1">
        <v>9.3333333333333339</v>
      </c>
      <c r="I67" s="1">
        <v>0.66666666666666663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8</v>
      </c>
      <c r="P67" s="1">
        <v>0</v>
      </c>
      <c r="Q67" s="1">
        <v>0</v>
      </c>
      <c r="R67" s="1">
        <v>0</v>
      </c>
      <c r="S67" s="1">
        <v>11</v>
      </c>
      <c r="T67" s="1">
        <v>12</v>
      </c>
      <c r="U67" s="1">
        <v>7</v>
      </c>
      <c r="V67" s="1">
        <v>11.75</v>
      </c>
      <c r="W67" s="1">
        <v>10.5</v>
      </c>
      <c r="X67" s="1">
        <v>9.0909090909090801E-2</v>
      </c>
      <c r="Y67" s="1">
        <v>0.71428571428571419</v>
      </c>
      <c r="Z67" s="1">
        <v>12</v>
      </c>
      <c r="AA67" s="1">
        <v>19</v>
      </c>
      <c r="AB67" s="1">
        <v>16</v>
      </c>
      <c r="AC67" s="1">
        <v>54</v>
      </c>
      <c r="AD67" s="1" t="s">
        <v>49</v>
      </c>
      <c r="AE67" s="1">
        <v>2</v>
      </c>
    </row>
    <row r="68" spans="1:31" x14ac:dyDescent="0.25">
      <c r="A68" s="1">
        <v>1</v>
      </c>
      <c r="B68" s="4">
        <v>33877</v>
      </c>
      <c r="C68" s="1" t="s">
        <v>46</v>
      </c>
      <c r="D68" s="1">
        <v>19</v>
      </c>
      <c r="E68" s="1">
        <v>19</v>
      </c>
      <c r="F68">
        <v>1</v>
      </c>
      <c r="G68" s="1">
        <v>0</v>
      </c>
      <c r="H68" s="1">
        <v>11.421052631578949</v>
      </c>
      <c r="I68" s="1">
        <v>0.47368421052631571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9</v>
      </c>
      <c r="P68" s="1">
        <v>0</v>
      </c>
      <c r="Q68" s="1">
        <v>0</v>
      </c>
      <c r="R68" s="1">
        <v>0</v>
      </c>
      <c r="S68" s="1">
        <v>12</v>
      </c>
      <c r="T68" s="1">
        <v>11</v>
      </c>
      <c r="U68" s="1">
        <v>12</v>
      </c>
      <c r="V68" s="1">
        <v>13.5</v>
      </c>
      <c r="W68" s="1">
        <v>11.125</v>
      </c>
      <c r="X68" s="1">
        <v>0.58333333333333326</v>
      </c>
      <c r="Y68" s="1">
        <v>0.58333333333333326</v>
      </c>
      <c r="Z68" s="1">
        <v>19</v>
      </c>
      <c r="AA68" s="1">
        <v>12</v>
      </c>
      <c r="AB68" s="1">
        <v>16</v>
      </c>
      <c r="AC68" s="1">
        <v>54</v>
      </c>
      <c r="AD68" s="1" t="s">
        <v>49</v>
      </c>
      <c r="AE68" s="1">
        <v>3</v>
      </c>
    </row>
    <row r="69" spans="1:31" x14ac:dyDescent="0.25">
      <c r="A69" s="1">
        <v>1</v>
      </c>
      <c r="B69" s="4">
        <v>33969</v>
      </c>
      <c r="C69" s="1" t="s">
        <v>46</v>
      </c>
      <c r="D69" s="1">
        <v>12</v>
      </c>
      <c r="E69" s="1">
        <v>12</v>
      </c>
      <c r="F69">
        <v>1</v>
      </c>
      <c r="G69" s="1">
        <v>0</v>
      </c>
      <c r="H69" s="1">
        <v>9.4166666666666661</v>
      </c>
      <c r="I69" s="1">
        <v>0.58333333333333337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5</v>
      </c>
      <c r="P69" s="1">
        <v>1</v>
      </c>
      <c r="Q69" s="1">
        <v>1</v>
      </c>
      <c r="R69" s="1">
        <v>0</v>
      </c>
      <c r="S69" s="1">
        <v>19</v>
      </c>
      <c r="T69" s="1">
        <v>12</v>
      </c>
      <c r="U69" s="1">
        <v>12</v>
      </c>
      <c r="V69" s="1">
        <v>13.5</v>
      </c>
      <c r="W69" s="1">
        <v>11.75</v>
      </c>
      <c r="X69" s="1">
        <v>-0.36842105263157898</v>
      </c>
      <c r="Y69" s="1">
        <v>0</v>
      </c>
      <c r="Z69" s="1">
        <v>12</v>
      </c>
      <c r="AA69" s="1">
        <v>15</v>
      </c>
      <c r="AB69" s="1">
        <v>16</v>
      </c>
      <c r="AC69" s="1">
        <v>54</v>
      </c>
      <c r="AD69" s="1" t="s">
        <v>49</v>
      </c>
      <c r="AE69" s="1">
        <v>4</v>
      </c>
    </row>
    <row r="70" spans="1:31" x14ac:dyDescent="0.25">
      <c r="A70" s="1">
        <v>1</v>
      </c>
      <c r="B70" s="4">
        <v>34059</v>
      </c>
      <c r="C70" s="1" t="s">
        <v>46</v>
      </c>
      <c r="D70" s="1">
        <v>15</v>
      </c>
      <c r="E70" s="1">
        <v>15</v>
      </c>
      <c r="F70">
        <v>1</v>
      </c>
      <c r="G70" s="1">
        <v>0</v>
      </c>
      <c r="H70" s="1">
        <v>10.733333333333333</v>
      </c>
      <c r="I70" s="1">
        <v>0.53333333333333333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7</v>
      </c>
      <c r="P70" s="1">
        <v>1</v>
      </c>
      <c r="Q70" s="1">
        <v>0</v>
      </c>
      <c r="R70" s="1">
        <v>0</v>
      </c>
      <c r="S70" s="1">
        <v>12</v>
      </c>
      <c r="T70" s="1">
        <v>19</v>
      </c>
      <c r="U70" s="1">
        <v>11</v>
      </c>
      <c r="V70" s="1">
        <v>14.5</v>
      </c>
      <c r="W70" s="1">
        <v>12.5</v>
      </c>
      <c r="X70" s="1">
        <v>0.25</v>
      </c>
      <c r="Y70" s="1">
        <v>0.36363636363636348</v>
      </c>
      <c r="Z70" s="1">
        <v>15</v>
      </c>
      <c r="AA70" s="1">
        <v>16</v>
      </c>
      <c r="AB70" s="1">
        <v>17</v>
      </c>
      <c r="AC70" s="1">
        <v>69</v>
      </c>
      <c r="AD70" s="1" t="s">
        <v>50</v>
      </c>
      <c r="AE70" s="1">
        <v>1</v>
      </c>
    </row>
    <row r="71" spans="1:31" x14ac:dyDescent="0.25">
      <c r="A71" s="1">
        <v>1</v>
      </c>
      <c r="B71" s="4">
        <v>34150</v>
      </c>
      <c r="C71" s="1" t="s">
        <v>46</v>
      </c>
      <c r="D71" s="1">
        <v>16</v>
      </c>
      <c r="E71" s="1">
        <v>16</v>
      </c>
      <c r="F71">
        <v>1</v>
      </c>
      <c r="G71" s="1">
        <v>0</v>
      </c>
      <c r="H71" s="1">
        <v>7.1875</v>
      </c>
      <c r="I71" s="1">
        <v>0.4375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4</v>
      </c>
      <c r="P71" s="1">
        <v>0</v>
      </c>
      <c r="Q71" s="1">
        <v>3</v>
      </c>
      <c r="R71" s="1">
        <v>0</v>
      </c>
      <c r="S71" s="1">
        <v>15</v>
      </c>
      <c r="T71" s="1">
        <v>12</v>
      </c>
      <c r="U71" s="1">
        <v>12</v>
      </c>
      <c r="V71" s="1">
        <v>15.5</v>
      </c>
      <c r="W71" s="1">
        <v>13.625</v>
      </c>
      <c r="X71" s="1">
        <v>6.6666666666666596E-2</v>
      </c>
      <c r="Y71" s="1">
        <v>0.3333333333333332</v>
      </c>
      <c r="Z71" s="1">
        <v>16</v>
      </c>
      <c r="AA71" s="1">
        <v>25</v>
      </c>
      <c r="AB71" s="1">
        <v>17</v>
      </c>
      <c r="AC71" s="1">
        <v>69</v>
      </c>
      <c r="AD71" s="1" t="s">
        <v>50</v>
      </c>
      <c r="AE71" s="1">
        <v>2</v>
      </c>
    </row>
    <row r="72" spans="1:31" x14ac:dyDescent="0.25">
      <c r="A72" s="1">
        <v>1</v>
      </c>
      <c r="B72" s="4">
        <v>34242</v>
      </c>
      <c r="C72" s="1" t="s">
        <v>46</v>
      </c>
      <c r="D72" s="1">
        <v>25</v>
      </c>
      <c r="E72" s="1">
        <v>25</v>
      </c>
      <c r="F72">
        <v>0.96</v>
      </c>
      <c r="G72" s="1">
        <v>0.04</v>
      </c>
      <c r="H72" s="1">
        <v>8.0399999999999991</v>
      </c>
      <c r="I72" s="1">
        <v>0.4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7</v>
      </c>
      <c r="P72" s="1">
        <v>3</v>
      </c>
      <c r="Q72" s="1">
        <v>0</v>
      </c>
      <c r="R72" s="1">
        <v>0</v>
      </c>
      <c r="S72" s="1">
        <v>16</v>
      </c>
      <c r="T72" s="1">
        <v>15</v>
      </c>
      <c r="U72" s="1">
        <v>19</v>
      </c>
      <c r="V72" s="1">
        <v>17</v>
      </c>
      <c r="W72" s="1">
        <v>15.25</v>
      </c>
      <c r="X72" s="1">
        <v>0.5625</v>
      </c>
      <c r="Y72" s="1">
        <v>0.31578947368421062</v>
      </c>
      <c r="Z72" s="1">
        <v>25</v>
      </c>
      <c r="AA72" s="1">
        <v>13</v>
      </c>
      <c r="AB72" s="1">
        <v>17</v>
      </c>
      <c r="AC72" s="1">
        <v>69</v>
      </c>
      <c r="AD72" s="1" t="s">
        <v>50</v>
      </c>
      <c r="AE72" s="1">
        <v>3</v>
      </c>
    </row>
    <row r="73" spans="1:31" x14ac:dyDescent="0.25">
      <c r="A73" s="1">
        <v>1</v>
      </c>
      <c r="B73" s="4">
        <v>34334</v>
      </c>
      <c r="C73" s="1" t="s">
        <v>46</v>
      </c>
      <c r="D73" s="1">
        <v>13</v>
      </c>
      <c r="E73" s="1">
        <v>13</v>
      </c>
      <c r="F73">
        <v>1</v>
      </c>
      <c r="G73" s="1">
        <v>0</v>
      </c>
      <c r="H73" s="1">
        <v>9.6923076923076916</v>
      </c>
      <c r="I73" s="1">
        <v>0.2307692307692307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3</v>
      </c>
      <c r="P73" s="1">
        <v>0</v>
      </c>
      <c r="Q73" s="1">
        <v>0</v>
      </c>
      <c r="R73" s="1">
        <v>0</v>
      </c>
      <c r="S73" s="1">
        <v>25</v>
      </c>
      <c r="T73" s="1">
        <v>16</v>
      </c>
      <c r="U73" s="1">
        <v>12</v>
      </c>
      <c r="V73" s="1">
        <v>17.25</v>
      </c>
      <c r="W73" s="1">
        <v>15.375</v>
      </c>
      <c r="X73" s="1">
        <v>-0.48</v>
      </c>
      <c r="Y73" s="1">
        <v>8.3333333333333204E-2</v>
      </c>
      <c r="Z73" s="1">
        <v>13</v>
      </c>
      <c r="AA73" s="1">
        <v>23</v>
      </c>
      <c r="AB73" s="1">
        <v>17</v>
      </c>
      <c r="AC73" s="1">
        <v>69</v>
      </c>
      <c r="AD73" s="1" t="s">
        <v>50</v>
      </c>
      <c r="AE73" s="1">
        <v>4</v>
      </c>
    </row>
    <row r="74" spans="1:31" x14ac:dyDescent="0.25">
      <c r="A74" s="1">
        <v>1</v>
      </c>
      <c r="B74" s="4">
        <v>34424</v>
      </c>
      <c r="C74" s="1" t="s">
        <v>46</v>
      </c>
      <c r="D74" s="1">
        <v>23</v>
      </c>
      <c r="E74" s="1">
        <v>23</v>
      </c>
      <c r="F74">
        <v>0.95652173913043481</v>
      </c>
      <c r="G74" s="1">
        <v>4.3478260869565202E-2</v>
      </c>
      <c r="H74" s="1">
        <v>10.086956521739131</v>
      </c>
      <c r="I74" s="1">
        <v>0.60869565217391308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  <c r="O74" s="1">
        <v>11</v>
      </c>
      <c r="P74" s="1">
        <v>1</v>
      </c>
      <c r="Q74" s="1">
        <v>0</v>
      </c>
      <c r="R74" s="1">
        <v>1</v>
      </c>
      <c r="S74" s="1">
        <v>13</v>
      </c>
      <c r="T74" s="1">
        <v>25</v>
      </c>
      <c r="U74" s="1">
        <v>15</v>
      </c>
      <c r="V74" s="1">
        <v>19.25</v>
      </c>
      <c r="W74" s="1">
        <v>16.875</v>
      </c>
      <c r="X74" s="1">
        <v>0.76923076923076916</v>
      </c>
      <c r="Y74" s="1">
        <v>0.53333333333333344</v>
      </c>
      <c r="Z74" s="1">
        <v>23</v>
      </c>
      <c r="AA74" s="1">
        <v>22</v>
      </c>
      <c r="AB74" s="1">
        <v>18</v>
      </c>
      <c r="AC74" s="1">
        <v>103</v>
      </c>
      <c r="AD74" s="1" t="s">
        <v>51</v>
      </c>
      <c r="AE74" s="1">
        <v>1</v>
      </c>
    </row>
    <row r="75" spans="1:31" x14ac:dyDescent="0.25">
      <c r="A75" s="1">
        <v>1</v>
      </c>
      <c r="B75" s="4">
        <v>34515</v>
      </c>
      <c r="C75" s="1" t="s">
        <v>46</v>
      </c>
      <c r="D75" s="1">
        <v>22</v>
      </c>
      <c r="E75" s="1">
        <v>22</v>
      </c>
      <c r="F75">
        <v>0.77272727272727271</v>
      </c>
      <c r="G75" s="1">
        <v>0.22727272727272721</v>
      </c>
      <c r="H75" s="1">
        <v>7.1818181818181817</v>
      </c>
      <c r="I75" s="1">
        <v>0.63636363636363635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9</v>
      </c>
      <c r="P75" s="1">
        <v>4</v>
      </c>
      <c r="Q75" s="1">
        <v>0</v>
      </c>
      <c r="R75" s="1">
        <v>1</v>
      </c>
      <c r="S75" s="1">
        <v>23</v>
      </c>
      <c r="T75" s="1">
        <v>13</v>
      </c>
      <c r="U75" s="1">
        <v>16</v>
      </c>
      <c r="V75" s="1">
        <v>20.75</v>
      </c>
      <c r="W75" s="1">
        <v>18.125</v>
      </c>
      <c r="X75" s="1">
        <v>-4.3478260869565098E-2</v>
      </c>
      <c r="Y75" s="1">
        <v>0.375</v>
      </c>
      <c r="Z75" s="1">
        <v>22</v>
      </c>
      <c r="AA75" s="1">
        <v>24</v>
      </c>
      <c r="AB75" s="1">
        <v>18</v>
      </c>
      <c r="AC75" s="1">
        <v>103</v>
      </c>
      <c r="AD75" s="1" t="s">
        <v>51</v>
      </c>
      <c r="AE75" s="1">
        <v>2</v>
      </c>
    </row>
    <row r="76" spans="1:31" x14ac:dyDescent="0.25">
      <c r="A76" s="1">
        <v>1</v>
      </c>
      <c r="B76" s="4">
        <v>34607</v>
      </c>
      <c r="C76" s="1" t="s">
        <v>46</v>
      </c>
      <c r="D76" s="1">
        <v>24</v>
      </c>
      <c r="E76" s="1">
        <v>24</v>
      </c>
      <c r="F76">
        <v>1</v>
      </c>
      <c r="G76" s="1">
        <v>0</v>
      </c>
      <c r="H76" s="1">
        <v>7.708333333333333</v>
      </c>
      <c r="I76" s="1">
        <v>0.41666666666666669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8</v>
      </c>
      <c r="P76" s="1">
        <v>2</v>
      </c>
      <c r="Q76" s="1">
        <v>0</v>
      </c>
      <c r="R76" s="1">
        <v>0</v>
      </c>
      <c r="S76" s="1">
        <v>22</v>
      </c>
      <c r="T76" s="1">
        <v>23</v>
      </c>
      <c r="U76" s="1">
        <v>25</v>
      </c>
      <c r="V76" s="1">
        <v>20.5</v>
      </c>
      <c r="W76" s="1">
        <v>18.75</v>
      </c>
      <c r="X76" s="1">
        <v>9.0909090909090801E-2</v>
      </c>
      <c r="Y76" s="1">
        <v>-0.04</v>
      </c>
      <c r="Z76" s="1">
        <v>24</v>
      </c>
      <c r="AA76" s="1">
        <v>34</v>
      </c>
      <c r="AB76" s="1">
        <v>18</v>
      </c>
      <c r="AC76" s="1">
        <v>103</v>
      </c>
      <c r="AD76" s="1" t="s">
        <v>51</v>
      </c>
      <c r="AE76" s="1">
        <v>3</v>
      </c>
    </row>
    <row r="77" spans="1:31" x14ac:dyDescent="0.25">
      <c r="A77" s="1">
        <v>1</v>
      </c>
      <c r="B77" s="4">
        <v>34699</v>
      </c>
      <c r="C77" s="1" t="s">
        <v>46</v>
      </c>
      <c r="D77" s="1">
        <v>34</v>
      </c>
      <c r="E77" s="1">
        <v>34</v>
      </c>
      <c r="F77">
        <v>1</v>
      </c>
      <c r="G77" s="1">
        <v>0</v>
      </c>
      <c r="H77" s="1">
        <v>7.7352941176470589</v>
      </c>
      <c r="I77" s="1">
        <v>0.5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14</v>
      </c>
      <c r="P77" s="1">
        <v>2</v>
      </c>
      <c r="Q77" s="1">
        <v>0</v>
      </c>
      <c r="R77" s="1">
        <v>1</v>
      </c>
      <c r="S77" s="1">
        <v>24</v>
      </c>
      <c r="T77" s="1">
        <v>22</v>
      </c>
      <c r="U77" s="1">
        <v>13</v>
      </c>
      <c r="V77" s="1">
        <v>25.75</v>
      </c>
      <c r="W77" s="1">
        <v>21.5</v>
      </c>
      <c r="X77" s="1">
        <v>0.41666666666666669</v>
      </c>
      <c r="Y77" s="1">
        <v>1.6153846153846154</v>
      </c>
      <c r="Z77" s="1">
        <v>34</v>
      </c>
      <c r="AA77" s="1">
        <v>27</v>
      </c>
      <c r="AB77" s="1">
        <v>18</v>
      </c>
      <c r="AC77" s="1">
        <v>103</v>
      </c>
      <c r="AD77" s="1" t="s">
        <v>51</v>
      </c>
      <c r="AE77" s="1">
        <v>4</v>
      </c>
    </row>
    <row r="78" spans="1:31" x14ac:dyDescent="0.25">
      <c r="A78" s="1">
        <v>1</v>
      </c>
      <c r="B78" s="4">
        <v>34789</v>
      </c>
      <c r="C78" s="1" t="s">
        <v>46</v>
      </c>
      <c r="D78" s="1">
        <v>27</v>
      </c>
      <c r="E78" s="1">
        <v>27</v>
      </c>
      <c r="F78">
        <v>0.85185185185185186</v>
      </c>
      <c r="G78" s="1">
        <v>0.14814814814814811</v>
      </c>
      <c r="H78" s="1">
        <v>7.5555555555555554</v>
      </c>
      <c r="I78" s="1">
        <v>0.51851851851851849</v>
      </c>
      <c r="J78" s="1">
        <v>0</v>
      </c>
      <c r="K78" s="1">
        <v>0</v>
      </c>
      <c r="L78" s="1">
        <v>0</v>
      </c>
      <c r="M78" s="1">
        <v>1</v>
      </c>
      <c r="N78" s="1">
        <v>0</v>
      </c>
      <c r="O78" s="1">
        <v>10</v>
      </c>
      <c r="P78" s="1">
        <v>1</v>
      </c>
      <c r="Q78" s="1">
        <v>1</v>
      </c>
      <c r="R78" s="1">
        <v>1</v>
      </c>
      <c r="S78" s="1">
        <v>34</v>
      </c>
      <c r="T78" s="1">
        <v>24</v>
      </c>
      <c r="U78" s="1">
        <v>23</v>
      </c>
      <c r="V78" s="1">
        <v>26.75</v>
      </c>
      <c r="W78" s="1">
        <v>23</v>
      </c>
      <c r="X78" s="1">
        <v>-0.20588235294117649</v>
      </c>
      <c r="Y78" s="1">
        <v>0.17391304347826089</v>
      </c>
      <c r="Z78" s="1">
        <v>27</v>
      </c>
      <c r="AA78" s="1">
        <v>30</v>
      </c>
      <c r="AB78" s="1">
        <v>19</v>
      </c>
      <c r="AC78" s="1">
        <v>111</v>
      </c>
      <c r="AD78" s="1" t="s">
        <v>52</v>
      </c>
      <c r="AE78" s="1">
        <v>1</v>
      </c>
    </row>
    <row r="79" spans="1:31" x14ac:dyDescent="0.25">
      <c r="A79" s="1">
        <v>1</v>
      </c>
      <c r="B79" s="4">
        <v>34880</v>
      </c>
      <c r="C79" s="1" t="s">
        <v>46</v>
      </c>
      <c r="D79" s="1">
        <v>30</v>
      </c>
      <c r="E79" s="1">
        <v>30</v>
      </c>
      <c r="F79">
        <v>0.96666666666666679</v>
      </c>
      <c r="G79" s="1">
        <v>3.3333333333333298E-2</v>
      </c>
      <c r="H79" s="1">
        <v>8.8000000000000007</v>
      </c>
      <c r="I79" s="1">
        <v>0.5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11</v>
      </c>
      <c r="P79" s="1">
        <v>3</v>
      </c>
      <c r="Q79" s="1">
        <v>0</v>
      </c>
      <c r="R79" s="1">
        <v>0</v>
      </c>
      <c r="S79" s="1">
        <v>27</v>
      </c>
      <c r="T79" s="1">
        <v>34</v>
      </c>
      <c r="U79" s="1">
        <v>22</v>
      </c>
      <c r="V79" s="1">
        <v>28.75</v>
      </c>
      <c r="W79" s="1">
        <v>24.75</v>
      </c>
      <c r="X79" s="1">
        <v>0.1111111111111111</v>
      </c>
      <c r="Y79" s="1">
        <v>0.36363636363636348</v>
      </c>
      <c r="Z79" s="1">
        <v>30</v>
      </c>
      <c r="AA79" s="1">
        <v>32</v>
      </c>
      <c r="AB79" s="1">
        <v>19</v>
      </c>
      <c r="AC79" s="1">
        <v>111</v>
      </c>
      <c r="AD79" s="1" t="s">
        <v>52</v>
      </c>
      <c r="AE79" s="1">
        <v>2</v>
      </c>
    </row>
    <row r="80" spans="1:31" x14ac:dyDescent="0.25">
      <c r="A80" s="1">
        <v>1</v>
      </c>
      <c r="B80" s="4">
        <v>34972</v>
      </c>
      <c r="C80" s="1" t="s">
        <v>46</v>
      </c>
      <c r="D80" s="1">
        <v>32</v>
      </c>
      <c r="E80" s="1">
        <v>32</v>
      </c>
      <c r="F80">
        <v>0.96875</v>
      </c>
      <c r="G80" s="1">
        <v>3.125E-2</v>
      </c>
      <c r="H80" s="1">
        <v>9.75</v>
      </c>
      <c r="I80" s="1">
        <v>0.625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18</v>
      </c>
      <c r="P80" s="1">
        <v>0</v>
      </c>
      <c r="Q80" s="1">
        <v>0</v>
      </c>
      <c r="R80" s="1">
        <v>2</v>
      </c>
      <c r="S80" s="1">
        <v>30</v>
      </c>
      <c r="T80" s="1">
        <v>27</v>
      </c>
      <c r="U80" s="1">
        <v>24</v>
      </c>
      <c r="V80" s="1">
        <v>30.75</v>
      </c>
      <c r="W80" s="1">
        <v>25.625</v>
      </c>
      <c r="X80" s="1">
        <v>6.6666666666666596E-2</v>
      </c>
      <c r="Y80" s="1">
        <v>0.3333333333333332</v>
      </c>
      <c r="Z80" s="1">
        <v>32</v>
      </c>
      <c r="AA80" s="1">
        <v>22</v>
      </c>
      <c r="AB80" s="1">
        <v>19</v>
      </c>
      <c r="AC80" s="1">
        <v>111</v>
      </c>
      <c r="AD80" s="1" t="s">
        <v>52</v>
      </c>
      <c r="AE80" s="1">
        <v>3</v>
      </c>
    </row>
    <row r="81" spans="1:31" x14ac:dyDescent="0.25">
      <c r="A81" s="1">
        <v>1</v>
      </c>
      <c r="B81" s="4">
        <v>35064</v>
      </c>
      <c r="C81" s="1" t="s">
        <v>46</v>
      </c>
      <c r="D81" s="1">
        <v>22</v>
      </c>
      <c r="E81" s="1">
        <v>22</v>
      </c>
      <c r="F81">
        <v>1</v>
      </c>
      <c r="G81" s="1">
        <v>0</v>
      </c>
      <c r="H81" s="1">
        <v>8.5909090909090917</v>
      </c>
      <c r="I81" s="1">
        <v>0.5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9</v>
      </c>
      <c r="P81" s="1">
        <v>0</v>
      </c>
      <c r="Q81" s="1">
        <v>1</v>
      </c>
      <c r="R81" s="1">
        <v>1</v>
      </c>
      <c r="S81" s="1">
        <v>32</v>
      </c>
      <c r="T81" s="1">
        <v>30</v>
      </c>
      <c r="U81" s="1">
        <v>34</v>
      </c>
      <c r="V81" s="1">
        <v>27.75</v>
      </c>
      <c r="W81" s="1">
        <v>26.75</v>
      </c>
      <c r="X81" s="1">
        <v>-0.3125</v>
      </c>
      <c r="Y81" s="1">
        <v>-0.3529411764705882</v>
      </c>
      <c r="Z81" s="1">
        <v>22</v>
      </c>
      <c r="AA81" s="1">
        <v>42</v>
      </c>
      <c r="AB81" s="1">
        <v>19</v>
      </c>
      <c r="AC81" s="1">
        <v>111</v>
      </c>
      <c r="AD81" s="1" t="s">
        <v>52</v>
      </c>
      <c r="AE81" s="1">
        <v>4</v>
      </c>
    </row>
    <row r="82" spans="1:31" x14ac:dyDescent="0.25">
      <c r="A82" s="1">
        <v>1</v>
      </c>
      <c r="B82" s="4">
        <v>35155</v>
      </c>
      <c r="C82" s="1" t="s">
        <v>46</v>
      </c>
      <c r="D82" s="1">
        <v>42</v>
      </c>
      <c r="E82" s="1">
        <v>42</v>
      </c>
      <c r="F82">
        <v>0.95238095238095244</v>
      </c>
      <c r="G82" s="1">
        <v>4.7619047619047603E-2</v>
      </c>
      <c r="H82" s="1">
        <v>10.071428571428571</v>
      </c>
      <c r="I82" s="1">
        <v>0.69047619047619047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18</v>
      </c>
      <c r="P82" s="1">
        <v>6</v>
      </c>
      <c r="Q82" s="1">
        <v>0</v>
      </c>
      <c r="R82" s="1">
        <v>5</v>
      </c>
      <c r="S82" s="1">
        <v>22</v>
      </c>
      <c r="T82" s="1">
        <v>32</v>
      </c>
      <c r="U82" s="1">
        <v>27</v>
      </c>
      <c r="V82" s="1">
        <v>31.5</v>
      </c>
      <c r="W82" s="1">
        <v>29.125</v>
      </c>
      <c r="X82" s="1">
        <v>0.90909090909090917</v>
      </c>
      <c r="Y82" s="1">
        <v>0.55555555555555558</v>
      </c>
      <c r="Z82" s="1">
        <v>42</v>
      </c>
      <c r="AA82" s="1">
        <v>40</v>
      </c>
      <c r="AB82" s="1">
        <v>20</v>
      </c>
      <c r="AC82" s="1">
        <v>217</v>
      </c>
      <c r="AD82" s="1" t="s">
        <v>53</v>
      </c>
      <c r="AE82" s="1">
        <v>1</v>
      </c>
    </row>
    <row r="83" spans="1:31" x14ac:dyDescent="0.25">
      <c r="A83" s="1">
        <v>1</v>
      </c>
      <c r="B83" s="4">
        <v>35246</v>
      </c>
      <c r="C83" s="1" t="s">
        <v>46</v>
      </c>
      <c r="D83" s="1">
        <v>40</v>
      </c>
      <c r="E83" s="1">
        <v>40</v>
      </c>
      <c r="F83">
        <v>1</v>
      </c>
      <c r="G83" s="1">
        <v>0</v>
      </c>
      <c r="H83" s="1">
        <v>9.25</v>
      </c>
      <c r="I83" s="1">
        <v>0.55000000000000004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17</v>
      </c>
      <c r="P83" s="1">
        <v>0</v>
      </c>
      <c r="Q83" s="1">
        <v>0</v>
      </c>
      <c r="R83" s="1">
        <v>4</v>
      </c>
      <c r="S83" s="1">
        <v>42</v>
      </c>
      <c r="T83" s="1">
        <v>22</v>
      </c>
      <c r="U83" s="1">
        <v>30</v>
      </c>
      <c r="V83" s="1">
        <v>34</v>
      </c>
      <c r="W83" s="1">
        <v>31.375</v>
      </c>
      <c r="X83" s="1">
        <v>-4.7619047619047603E-2</v>
      </c>
      <c r="Y83" s="1">
        <v>0.3333333333333332</v>
      </c>
      <c r="Z83" s="1">
        <v>40</v>
      </c>
      <c r="AA83" s="1">
        <v>65</v>
      </c>
      <c r="AB83" s="1">
        <v>20</v>
      </c>
      <c r="AC83" s="1">
        <v>217</v>
      </c>
      <c r="AD83" s="1" t="s">
        <v>53</v>
      </c>
      <c r="AE83" s="1">
        <v>2</v>
      </c>
    </row>
    <row r="84" spans="1:31" x14ac:dyDescent="0.25">
      <c r="A84" s="1">
        <v>1</v>
      </c>
      <c r="B84" s="4">
        <v>35338</v>
      </c>
      <c r="C84" s="1" t="s">
        <v>46</v>
      </c>
      <c r="D84" s="1">
        <v>65</v>
      </c>
      <c r="E84" s="1">
        <v>65</v>
      </c>
      <c r="F84">
        <v>1</v>
      </c>
      <c r="G84" s="1">
        <v>0</v>
      </c>
      <c r="H84" s="1">
        <v>10.030769230769231</v>
      </c>
      <c r="I84" s="1">
        <v>0.63076923076923075</v>
      </c>
      <c r="J84" s="1">
        <v>0</v>
      </c>
      <c r="K84" s="1">
        <v>0</v>
      </c>
      <c r="L84" s="1">
        <v>0</v>
      </c>
      <c r="M84" s="1">
        <v>3</v>
      </c>
      <c r="N84" s="1">
        <v>0</v>
      </c>
      <c r="O84" s="1">
        <v>29</v>
      </c>
      <c r="P84" s="1">
        <v>1</v>
      </c>
      <c r="Q84" s="1">
        <v>3</v>
      </c>
      <c r="R84" s="1">
        <v>5</v>
      </c>
      <c r="S84" s="1">
        <v>40</v>
      </c>
      <c r="T84" s="1">
        <v>42</v>
      </c>
      <c r="U84" s="1">
        <v>32</v>
      </c>
      <c r="V84" s="1">
        <v>42.25</v>
      </c>
      <c r="W84" s="1">
        <v>36.5</v>
      </c>
      <c r="X84" s="1">
        <v>0.625</v>
      </c>
      <c r="Y84" s="1">
        <v>1.03125</v>
      </c>
      <c r="Z84" s="1">
        <v>65</v>
      </c>
      <c r="AA84" s="1">
        <v>70</v>
      </c>
      <c r="AB84" s="1">
        <v>20</v>
      </c>
      <c r="AC84" s="1">
        <v>217</v>
      </c>
      <c r="AD84" s="1" t="s">
        <v>53</v>
      </c>
      <c r="AE84" s="1">
        <v>3</v>
      </c>
    </row>
    <row r="85" spans="1:31" x14ac:dyDescent="0.25">
      <c r="A85" s="1">
        <v>1</v>
      </c>
      <c r="B85" s="4">
        <v>35430</v>
      </c>
      <c r="C85" s="1" t="s">
        <v>46</v>
      </c>
      <c r="D85" s="1">
        <v>70</v>
      </c>
      <c r="E85" s="1">
        <v>70</v>
      </c>
      <c r="F85">
        <v>1</v>
      </c>
      <c r="G85" s="1">
        <v>0</v>
      </c>
      <c r="H85" s="1">
        <v>9.0571428571428552</v>
      </c>
      <c r="I85" s="1">
        <v>0.54285714285714282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26</v>
      </c>
      <c r="P85" s="1">
        <v>5</v>
      </c>
      <c r="Q85" s="1">
        <v>2</v>
      </c>
      <c r="R85" s="1">
        <v>4</v>
      </c>
      <c r="S85" s="1">
        <v>65</v>
      </c>
      <c r="T85" s="1">
        <v>40</v>
      </c>
      <c r="U85" s="1">
        <v>22</v>
      </c>
      <c r="V85" s="1">
        <v>54.25</v>
      </c>
      <c r="W85" s="1">
        <v>41</v>
      </c>
      <c r="X85" s="1">
        <v>7.6923076923076802E-2</v>
      </c>
      <c r="Y85" s="1">
        <v>2.1818181818181817</v>
      </c>
      <c r="Z85" s="1">
        <v>70</v>
      </c>
      <c r="AA85" s="1">
        <v>51</v>
      </c>
      <c r="AB85" s="1">
        <v>20</v>
      </c>
      <c r="AC85" s="1">
        <v>217</v>
      </c>
      <c r="AD85" s="1" t="s">
        <v>53</v>
      </c>
      <c r="AE85" s="1">
        <v>4</v>
      </c>
    </row>
    <row r="86" spans="1:31" x14ac:dyDescent="0.25">
      <c r="A86" s="1">
        <v>1</v>
      </c>
      <c r="B86" s="4">
        <v>35520</v>
      </c>
      <c r="C86" s="1" t="s">
        <v>46</v>
      </c>
      <c r="D86" s="1">
        <v>51</v>
      </c>
      <c r="E86" s="1">
        <v>51</v>
      </c>
      <c r="F86">
        <v>1</v>
      </c>
      <c r="G86" s="1">
        <v>0</v>
      </c>
      <c r="H86" s="1">
        <v>9.8039215686274517</v>
      </c>
      <c r="I86" s="1">
        <v>0.58823529411764708</v>
      </c>
      <c r="J86" s="1">
        <v>0</v>
      </c>
      <c r="K86" s="1">
        <v>0</v>
      </c>
      <c r="L86" s="1">
        <v>0</v>
      </c>
      <c r="M86" s="1">
        <v>2</v>
      </c>
      <c r="N86" s="1">
        <v>0</v>
      </c>
      <c r="O86" s="1">
        <v>23</v>
      </c>
      <c r="P86" s="1">
        <v>2</v>
      </c>
      <c r="Q86" s="1">
        <v>2</v>
      </c>
      <c r="R86" s="1">
        <v>1</v>
      </c>
      <c r="S86" s="1">
        <v>70</v>
      </c>
      <c r="T86" s="1">
        <v>65</v>
      </c>
      <c r="U86" s="1">
        <v>42</v>
      </c>
      <c r="V86" s="1">
        <v>56.5</v>
      </c>
      <c r="W86" s="1">
        <v>44</v>
      </c>
      <c r="X86" s="1">
        <v>-0.27142857142857141</v>
      </c>
      <c r="Y86" s="1">
        <v>0.21428571428571419</v>
      </c>
      <c r="Z86" s="1">
        <v>51</v>
      </c>
      <c r="AA86" s="1">
        <v>48</v>
      </c>
      <c r="AB86" s="1">
        <v>21</v>
      </c>
      <c r="AC86" s="1">
        <v>195</v>
      </c>
      <c r="AD86" s="1" t="s">
        <v>54</v>
      </c>
      <c r="AE86" s="1">
        <v>1</v>
      </c>
    </row>
    <row r="87" spans="1:31" x14ac:dyDescent="0.25">
      <c r="A87" s="1">
        <v>1</v>
      </c>
      <c r="B87" s="4">
        <v>35611</v>
      </c>
      <c r="C87" s="1" t="s">
        <v>46</v>
      </c>
      <c r="D87" s="1">
        <v>48</v>
      </c>
      <c r="E87" s="1">
        <v>48</v>
      </c>
      <c r="F87">
        <v>1</v>
      </c>
      <c r="G87" s="1">
        <v>0</v>
      </c>
      <c r="H87" s="1">
        <v>8.0208333333333339</v>
      </c>
      <c r="I87" s="1">
        <v>0.52083333333333337</v>
      </c>
      <c r="J87" s="1">
        <v>0</v>
      </c>
      <c r="K87" s="1">
        <v>0</v>
      </c>
      <c r="L87" s="1">
        <v>1</v>
      </c>
      <c r="M87" s="1">
        <v>0</v>
      </c>
      <c r="N87" s="1">
        <v>1</v>
      </c>
      <c r="O87" s="1">
        <v>13</v>
      </c>
      <c r="P87" s="1">
        <v>4</v>
      </c>
      <c r="Q87" s="1">
        <v>0</v>
      </c>
      <c r="R87" s="1">
        <v>6</v>
      </c>
      <c r="S87" s="1">
        <v>51</v>
      </c>
      <c r="T87" s="1">
        <v>70</v>
      </c>
      <c r="U87" s="1">
        <v>40</v>
      </c>
      <c r="V87" s="1">
        <v>58.5</v>
      </c>
      <c r="W87" s="1">
        <v>46.25</v>
      </c>
      <c r="X87" s="1">
        <v>-5.8823529411764698E-2</v>
      </c>
      <c r="Y87" s="1">
        <v>0.1999999999999999</v>
      </c>
      <c r="Z87" s="1">
        <v>48</v>
      </c>
      <c r="AA87" s="1">
        <v>46</v>
      </c>
      <c r="AB87" s="1">
        <v>21</v>
      </c>
      <c r="AC87" s="1">
        <v>195</v>
      </c>
      <c r="AD87" s="1" t="s">
        <v>54</v>
      </c>
      <c r="AE87" s="1">
        <v>2</v>
      </c>
    </row>
    <row r="88" spans="1:31" x14ac:dyDescent="0.25">
      <c r="A88" s="1">
        <v>1</v>
      </c>
      <c r="B88" s="4">
        <v>35703</v>
      </c>
      <c r="C88" s="1" t="s">
        <v>46</v>
      </c>
      <c r="D88" s="1">
        <v>46</v>
      </c>
      <c r="E88" s="1">
        <v>46</v>
      </c>
      <c r="F88">
        <v>0.91304347826086962</v>
      </c>
      <c r="G88" s="1">
        <v>8.6956521739130405E-2</v>
      </c>
      <c r="H88" s="1">
        <v>8.4347826086956523</v>
      </c>
      <c r="I88" s="1">
        <v>0.28260869565217389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  <c r="O88" s="1">
        <v>7</v>
      </c>
      <c r="P88" s="1">
        <v>3</v>
      </c>
      <c r="Q88" s="1">
        <v>2</v>
      </c>
      <c r="R88" s="1">
        <v>0</v>
      </c>
      <c r="S88" s="1">
        <v>48</v>
      </c>
      <c r="T88" s="1">
        <v>51</v>
      </c>
      <c r="U88" s="1">
        <v>65</v>
      </c>
      <c r="V88" s="1">
        <v>53.75</v>
      </c>
      <c r="W88" s="1">
        <v>48</v>
      </c>
      <c r="X88" s="1">
        <v>-4.1666666666666602E-2</v>
      </c>
      <c r="Y88" s="1">
        <v>-0.29230769230769221</v>
      </c>
      <c r="Z88" s="1">
        <v>46</v>
      </c>
      <c r="AA88" s="1">
        <v>50</v>
      </c>
      <c r="AB88" s="1">
        <v>21</v>
      </c>
      <c r="AC88" s="1">
        <v>195</v>
      </c>
      <c r="AD88" s="1" t="s">
        <v>54</v>
      </c>
      <c r="AE88" s="1">
        <v>3</v>
      </c>
    </row>
    <row r="89" spans="1:31" x14ac:dyDescent="0.25">
      <c r="A89" s="1">
        <v>1</v>
      </c>
      <c r="B89" s="4">
        <v>35795</v>
      </c>
      <c r="C89" s="1" t="s">
        <v>46</v>
      </c>
      <c r="D89" s="1">
        <v>50</v>
      </c>
      <c r="E89" s="1">
        <v>50</v>
      </c>
      <c r="F89">
        <v>0.94</v>
      </c>
      <c r="G89" s="1">
        <v>0.06</v>
      </c>
      <c r="H89" s="1">
        <v>8.2200000000000006</v>
      </c>
      <c r="I89" s="1">
        <v>0.6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22</v>
      </c>
      <c r="P89" s="1">
        <v>5</v>
      </c>
      <c r="Q89" s="1">
        <v>1</v>
      </c>
      <c r="R89" s="1">
        <v>2</v>
      </c>
      <c r="S89" s="1">
        <v>46</v>
      </c>
      <c r="T89" s="1">
        <v>48</v>
      </c>
      <c r="U89" s="1">
        <v>70</v>
      </c>
      <c r="V89" s="1">
        <v>48.75</v>
      </c>
      <c r="W89" s="1">
        <v>51.5</v>
      </c>
      <c r="X89" s="1">
        <v>8.6956521739130294E-2</v>
      </c>
      <c r="Y89" s="1">
        <v>-0.2857142857142857</v>
      </c>
      <c r="Z89" s="1">
        <v>50</v>
      </c>
      <c r="AA89" s="1">
        <v>82</v>
      </c>
      <c r="AB89" s="1">
        <v>21</v>
      </c>
      <c r="AC89" s="1">
        <v>195</v>
      </c>
      <c r="AD89" s="1" t="s">
        <v>54</v>
      </c>
      <c r="AE89" s="1">
        <v>4</v>
      </c>
    </row>
    <row r="90" spans="1:31" x14ac:dyDescent="0.25">
      <c r="A90" s="1">
        <v>1</v>
      </c>
      <c r="B90" s="4">
        <v>35885</v>
      </c>
      <c r="C90" s="1" t="s">
        <v>46</v>
      </c>
      <c r="D90" s="1">
        <v>82</v>
      </c>
      <c r="E90" s="1">
        <v>82</v>
      </c>
      <c r="F90">
        <v>0.92682926829268297</v>
      </c>
      <c r="G90" s="1">
        <v>7.3170731707316999E-2</v>
      </c>
      <c r="H90" s="1">
        <v>8.2439024390243905</v>
      </c>
      <c r="I90" s="1">
        <v>0.51219512195121952</v>
      </c>
      <c r="J90" s="1">
        <v>0</v>
      </c>
      <c r="K90" s="1">
        <v>0</v>
      </c>
      <c r="L90" s="1">
        <v>2</v>
      </c>
      <c r="M90" s="1">
        <v>1</v>
      </c>
      <c r="N90" s="1">
        <v>0</v>
      </c>
      <c r="O90" s="1">
        <v>19</v>
      </c>
      <c r="P90" s="1">
        <v>11</v>
      </c>
      <c r="Q90" s="1">
        <v>4</v>
      </c>
      <c r="R90" s="1">
        <v>5</v>
      </c>
      <c r="S90" s="1">
        <v>50</v>
      </c>
      <c r="T90" s="1">
        <v>46</v>
      </c>
      <c r="U90" s="1">
        <v>51</v>
      </c>
      <c r="V90" s="1">
        <v>56.5</v>
      </c>
      <c r="W90" s="1">
        <v>56.5</v>
      </c>
      <c r="X90" s="1">
        <v>0.6399999999999999</v>
      </c>
      <c r="Y90" s="1">
        <v>0.60784313725490202</v>
      </c>
      <c r="Z90" s="1">
        <v>82</v>
      </c>
      <c r="AA90" s="1">
        <v>110</v>
      </c>
      <c r="AB90" s="1">
        <v>22</v>
      </c>
      <c r="AC90" s="1">
        <v>444</v>
      </c>
      <c r="AD90" s="1" t="s">
        <v>55</v>
      </c>
      <c r="AE90" s="1">
        <v>1</v>
      </c>
    </row>
    <row r="91" spans="1:31" x14ac:dyDescent="0.25">
      <c r="A91" s="1">
        <v>1</v>
      </c>
      <c r="B91" s="4">
        <v>35976</v>
      </c>
      <c r="C91" s="1" t="s">
        <v>46</v>
      </c>
      <c r="D91" s="1">
        <v>110</v>
      </c>
      <c r="E91" s="1">
        <v>110</v>
      </c>
      <c r="F91">
        <v>0.97272727272727277</v>
      </c>
      <c r="G91" s="1">
        <v>2.7272727272727199E-2</v>
      </c>
      <c r="H91" s="1">
        <v>8.627272727272727</v>
      </c>
      <c r="I91" s="1">
        <v>0.5</v>
      </c>
      <c r="J91" s="1">
        <v>0</v>
      </c>
      <c r="K91" s="1">
        <v>1</v>
      </c>
      <c r="L91" s="1">
        <v>0</v>
      </c>
      <c r="M91" s="1">
        <v>0</v>
      </c>
      <c r="N91" s="1">
        <v>0</v>
      </c>
      <c r="O91" s="1">
        <v>37</v>
      </c>
      <c r="P91" s="1">
        <v>7</v>
      </c>
      <c r="Q91" s="1">
        <v>2</v>
      </c>
      <c r="R91" s="1">
        <v>8</v>
      </c>
      <c r="S91" s="1">
        <v>82</v>
      </c>
      <c r="T91" s="1">
        <v>50</v>
      </c>
      <c r="U91" s="1">
        <v>48</v>
      </c>
      <c r="V91" s="1">
        <v>72</v>
      </c>
      <c r="W91" s="1">
        <v>65.25</v>
      </c>
      <c r="X91" s="1">
        <v>0.34146341463414642</v>
      </c>
      <c r="Y91" s="1">
        <v>1.2916666666666663</v>
      </c>
      <c r="Z91" s="1">
        <v>110</v>
      </c>
      <c r="AA91" s="1">
        <v>116</v>
      </c>
      <c r="AB91" s="1">
        <v>22</v>
      </c>
      <c r="AC91" s="1">
        <v>444</v>
      </c>
      <c r="AD91" s="1" t="s">
        <v>55</v>
      </c>
      <c r="AE91" s="1">
        <v>2</v>
      </c>
    </row>
    <row r="92" spans="1:31" x14ac:dyDescent="0.25">
      <c r="A92" s="1">
        <v>1</v>
      </c>
      <c r="B92" s="4">
        <v>36068</v>
      </c>
      <c r="C92" s="1" t="s">
        <v>46</v>
      </c>
      <c r="D92" s="1">
        <v>116</v>
      </c>
      <c r="E92" s="1">
        <v>116</v>
      </c>
      <c r="F92">
        <v>0.98275862068965525</v>
      </c>
      <c r="G92" s="1">
        <v>1.72413793103448E-2</v>
      </c>
      <c r="H92" s="1">
        <v>8.9913793103448274</v>
      </c>
      <c r="I92" s="1">
        <v>0.5431034482758621</v>
      </c>
      <c r="J92" s="1">
        <v>0</v>
      </c>
      <c r="K92" s="1">
        <v>1</v>
      </c>
      <c r="L92" s="1">
        <v>1</v>
      </c>
      <c r="M92" s="1">
        <v>1</v>
      </c>
      <c r="N92" s="1">
        <v>0</v>
      </c>
      <c r="O92" s="1">
        <v>40</v>
      </c>
      <c r="P92" s="1">
        <v>10</v>
      </c>
      <c r="Q92" s="1">
        <v>4</v>
      </c>
      <c r="R92" s="1">
        <v>6</v>
      </c>
      <c r="S92" s="1">
        <v>110</v>
      </c>
      <c r="T92" s="1">
        <v>82</v>
      </c>
      <c r="U92" s="1">
        <v>46</v>
      </c>
      <c r="V92" s="1">
        <v>89.5</v>
      </c>
      <c r="W92" s="1">
        <v>71.625</v>
      </c>
      <c r="X92" s="1">
        <v>5.4545454545454397E-2</v>
      </c>
      <c r="Y92" s="1">
        <v>1.5217391304347827</v>
      </c>
      <c r="Z92" s="1">
        <v>116</v>
      </c>
      <c r="AA92" s="1">
        <v>136</v>
      </c>
      <c r="AB92" s="1">
        <v>22</v>
      </c>
      <c r="AC92" s="1">
        <v>444</v>
      </c>
      <c r="AD92" s="1" t="s">
        <v>55</v>
      </c>
      <c r="AE92" s="1">
        <v>3</v>
      </c>
    </row>
    <row r="93" spans="1:31" x14ac:dyDescent="0.25">
      <c r="A93" s="1">
        <v>1</v>
      </c>
      <c r="B93" s="4">
        <v>36160</v>
      </c>
      <c r="C93" s="1" t="s">
        <v>46</v>
      </c>
      <c r="D93" s="1">
        <v>136</v>
      </c>
      <c r="E93" s="1">
        <v>136</v>
      </c>
      <c r="F93">
        <v>0.8970588235294118</v>
      </c>
      <c r="G93" s="1">
        <v>9.5588235294117599E-2</v>
      </c>
      <c r="H93" s="1">
        <v>8.7132352941176467</v>
      </c>
      <c r="I93" s="1">
        <v>0.5220588235294118</v>
      </c>
      <c r="J93" s="1">
        <v>0</v>
      </c>
      <c r="K93" s="1">
        <v>0</v>
      </c>
      <c r="L93" s="1">
        <v>1</v>
      </c>
      <c r="M93" s="1">
        <v>1</v>
      </c>
      <c r="N93" s="1">
        <v>0</v>
      </c>
      <c r="O93" s="1">
        <v>40</v>
      </c>
      <c r="P93" s="1">
        <v>14</v>
      </c>
      <c r="Q93" s="1">
        <v>6</v>
      </c>
      <c r="R93" s="1">
        <v>9</v>
      </c>
      <c r="S93" s="1">
        <v>116</v>
      </c>
      <c r="T93" s="1">
        <v>110</v>
      </c>
      <c r="U93" s="1">
        <v>50</v>
      </c>
      <c r="V93" s="1">
        <v>111</v>
      </c>
      <c r="W93" s="1">
        <v>79.875</v>
      </c>
      <c r="X93" s="1">
        <v>0.17241379310344809</v>
      </c>
      <c r="Y93" s="1">
        <v>1.7200000000000002</v>
      </c>
      <c r="Z93" s="1">
        <v>136</v>
      </c>
      <c r="AA93" s="1">
        <v>131</v>
      </c>
      <c r="AB93" s="1">
        <v>22</v>
      </c>
      <c r="AC93" s="1">
        <v>444</v>
      </c>
      <c r="AD93" s="1" t="s">
        <v>55</v>
      </c>
      <c r="AE93" s="1">
        <v>4</v>
      </c>
    </row>
    <row r="94" spans="1:31" x14ac:dyDescent="0.25">
      <c r="A94" s="1">
        <v>1</v>
      </c>
      <c r="B94" s="4">
        <v>36250</v>
      </c>
      <c r="C94" s="1" t="s">
        <v>46</v>
      </c>
      <c r="D94" s="1">
        <v>131</v>
      </c>
      <c r="E94" s="1">
        <v>131</v>
      </c>
      <c r="F94">
        <v>0.91603053435114501</v>
      </c>
      <c r="G94" s="1">
        <v>6.8702290076335798E-2</v>
      </c>
      <c r="H94" s="1">
        <v>8.9541984732824424</v>
      </c>
      <c r="I94" s="1">
        <v>0.62595419847328249</v>
      </c>
      <c r="J94" s="1">
        <v>0</v>
      </c>
      <c r="K94" s="1">
        <v>2</v>
      </c>
      <c r="L94" s="1">
        <v>1</v>
      </c>
      <c r="M94" s="1">
        <v>1</v>
      </c>
      <c r="N94" s="1">
        <v>2</v>
      </c>
      <c r="O94" s="1">
        <v>59</v>
      </c>
      <c r="P94" s="1">
        <v>9</v>
      </c>
      <c r="Q94" s="1">
        <v>3</v>
      </c>
      <c r="R94" s="1">
        <v>5</v>
      </c>
      <c r="S94" s="1">
        <v>136</v>
      </c>
      <c r="T94" s="1">
        <v>116</v>
      </c>
      <c r="U94" s="1">
        <v>82</v>
      </c>
      <c r="V94" s="1">
        <v>123.25</v>
      </c>
      <c r="W94" s="1">
        <v>89.875</v>
      </c>
      <c r="X94" s="1">
        <v>-3.6764705882352901E-2</v>
      </c>
      <c r="Y94" s="1">
        <v>0.59756097560975618</v>
      </c>
      <c r="Z94" s="1">
        <v>131</v>
      </c>
      <c r="AA94" s="1">
        <v>115</v>
      </c>
      <c r="AB94" s="1">
        <v>23</v>
      </c>
      <c r="AC94" s="1">
        <v>688</v>
      </c>
      <c r="AD94" s="1" t="s">
        <v>56</v>
      </c>
      <c r="AE94" s="1">
        <v>1</v>
      </c>
    </row>
    <row r="95" spans="1:31" x14ac:dyDescent="0.25">
      <c r="A95" s="1">
        <v>1</v>
      </c>
      <c r="B95" s="4">
        <v>36341</v>
      </c>
      <c r="C95" s="1" t="s">
        <v>46</v>
      </c>
      <c r="D95" s="1">
        <v>115</v>
      </c>
      <c r="E95" s="1">
        <v>115</v>
      </c>
      <c r="F95">
        <v>0.95652173913043481</v>
      </c>
      <c r="G95" s="1">
        <v>4.3478260869565202E-2</v>
      </c>
      <c r="H95" s="1">
        <v>8.3826086956521735</v>
      </c>
      <c r="I95" s="1">
        <v>0.57391304347826089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39</v>
      </c>
      <c r="P95" s="1">
        <v>5</v>
      </c>
      <c r="Q95" s="1">
        <v>11</v>
      </c>
      <c r="R95" s="1">
        <v>10</v>
      </c>
      <c r="S95" s="1">
        <v>131</v>
      </c>
      <c r="T95" s="1">
        <v>136</v>
      </c>
      <c r="U95" s="1">
        <v>110</v>
      </c>
      <c r="V95" s="1">
        <v>124.5</v>
      </c>
      <c r="W95" s="1">
        <v>98.25</v>
      </c>
      <c r="X95" s="1">
        <v>-0.1221374045801526</v>
      </c>
      <c r="Y95" s="1">
        <v>4.54545454545454E-2</v>
      </c>
      <c r="Z95" s="1">
        <v>115</v>
      </c>
      <c r="AA95" s="1">
        <v>207</v>
      </c>
      <c r="AB95" s="1">
        <v>23</v>
      </c>
      <c r="AC95" s="1">
        <v>688</v>
      </c>
      <c r="AD95" s="1" t="s">
        <v>56</v>
      </c>
      <c r="AE95" s="1">
        <v>2</v>
      </c>
    </row>
    <row r="96" spans="1:31" x14ac:dyDescent="0.25">
      <c r="A96" s="1">
        <v>1</v>
      </c>
      <c r="B96" s="4">
        <v>36433</v>
      </c>
      <c r="C96" s="1" t="s">
        <v>46</v>
      </c>
      <c r="D96" s="1">
        <v>207</v>
      </c>
      <c r="E96" s="1">
        <v>207</v>
      </c>
      <c r="F96">
        <v>0.96618357487922701</v>
      </c>
      <c r="G96" s="1">
        <v>3.3816425120772903E-2</v>
      </c>
      <c r="H96" s="1">
        <v>9.1980676328502415</v>
      </c>
      <c r="I96" s="1">
        <v>0.52657004830917875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78</v>
      </c>
      <c r="P96" s="1">
        <v>8</v>
      </c>
      <c r="Q96" s="1">
        <v>10</v>
      </c>
      <c r="R96" s="1">
        <v>13</v>
      </c>
      <c r="S96" s="1">
        <v>115</v>
      </c>
      <c r="T96" s="1">
        <v>131</v>
      </c>
      <c r="U96" s="1">
        <v>116</v>
      </c>
      <c r="V96" s="1">
        <v>147.25</v>
      </c>
      <c r="W96" s="1">
        <v>118.375</v>
      </c>
      <c r="X96" s="1">
        <v>0.8</v>
      </c>
      <c r="Y96" s="1">
        <v>0.78448275862068972</v>
      </c>
      <c r="Z96" s="1">
        <v>207</v>
      </c>
      <c r="AA96" s="1">
        <v>235</v>
      </c>
      <c r="AB96" s="1">
        <v>23</v>
      </c>
      <c r="AC96" s="1">
        <v>688</v>
      </c>
      <c r="AD96" s="1" t="s">
        <v>56</v>
      </c>
      <c r="AE96" s="1">
        <v>3</v>
      </c>
    </row>
    <row r="97" spans="1:31" x14ac:dyDescent="0.25">
      <c r="A97" s="1">
        <v>1</v>
      </c>
      <c r="B97" s="4">
        <v>36525</v>
      </c>
      <c r="C97" s="1" t="s">
        <v>46</v>
      </c>
      <c r="D97" s="1">
        <v>235</v>
      </c>
      <c r="E97" s="1">
        <v>235</v>
      </c>
      <c r="F97">
        <v>0.97872340425531923</v>
      </c>
      <c r="G97" s="1">
        <v>2.1276595744680799E-2</v>
      </c>
      <c r="H97" s="1">
        <v>8.8936170212765955</v>
      </c>
      <c r="I97" s="1">
        <v>0.58723404255319145</v>
      </c>
      <c r="J97" s="1">
        <v>0</v>
      </c>
      <c r="K97" s="1">
        <v>0</v>
      </c>
      <c r="L97" s="1">
        <v>2</v>
      </c>
      <c r="M97" s="1">
        <v>1</v>
      </c>
      <c r="N97" s="1">
        <v>1</v>
      </c>
      <c r="O97" s="1">
        <v>86</v>
      </c>
      <c r="P97" s="1">
        <v>13</v>
      </c>
      <c r="Q97" s="1">
        <v>18</v>
      </c>
      <c r="R97" s="1">
        <v>17</v>
      </c>
      <c r="S97" s="1">
        <v>207</v>
      </c>
      <c r="T97" s="1">
        <v>115</v>
      </c>
      <c r="U97" s="1">
        <v>136</v>
      </c>
      <c r="V97" s="1">
        <v>172</v>
      </c>
      <c r="W97" s="1">
        <v>141.5</v>
      </c>
      <c r="X97" s="1">
        <v>0.13526570048309169</v>
      </c>
      <c r="Y97" s="1">
        <v>0.72794117647058831</v>
      </c>
      <c r="Z97" s="1">
        <v>235</v>
      </c>
      <c r="AA97" s="1">
        <v>176</v>
      </c>
      <c r="AB97" s="1">
        <v>23</v>
      </c>
      <c r="AC97" s="1">
        <v>688</v>
      </c>
      <c r="AD97" s="1" t="s">
        <v>56</v>
      </c>
      <c r="AE97" s="1">
        <v>4</v>
      </c>
    </row>
    <row r="98" spans="1:31" x14ac:dyDescent="0.25">
      <c r="A98" s="1">
        <v>1</v>
      </c>
      <c r="B98" s="4">
        <v>36616</v>
      </c>
      <c r="C98" s="1" t="s">
        <v>57</v>
      </c>
      <c r="D98" s="1">
        <v>176</v>
      </c>
      <c r="E98" s="1">
        <v>176</v>
      </c>
      <c r="F98">
        <v>0.95454545454545459</v>
      </c>
      <c r="G98" s="1">
        <v>4.54545454545454E-2</v>
      </c>
      <c r="H98" s="1">
        <v>9.1590909090909083</v>
      </c>
      <c r="I98" s="1">
        <v>0.56818181818181823</v>
      </c>
      <c r="J98" s="1">
        <v>0</v>
      </c>
      <c r="K98" s="1">
        <v>2</v>
      </c>
      <c r="L98" s="1">
        <v>0</v>
      </c>
      <c r="M98" s="1">
        <v>0</v>
      </c>
      <c r="N98" s="1">
        <v>0</v>
      </c>
      <c r="O98" s="1">
        <v>60</v>
      </c>
      <c r="P98" s="1">
        <v>14</v>
      </c>
      <c r="Q98" s="1">
        <v>15</v>
      </c>
      <c r="R98" s="1">
        <v>9</v>
      </c>
      <c r="S98" s="1">
        <v>235</v>
      </c>
      <c r="T98" s="1">
        <v>207</v>
      </c>
      <c r="U98" s="1">
        <v>131</v>
      </c>
      <c r="V98" s="1">
        <v>183.25</v>
      </c>
      <c r="W98" s="1">
        <v>153.25</v>
      </c>
      <c r="X98" s="1">
        <v>-0.25106382978723402</v>
      </c>
      <c r="Y98" s="1">
        <v>0.34351145038167941</v>
      </c>
      <c r="Z98" s="1">
        <v>176</v>
      </c>
      <c r="AA98" s="1">
        <v>195</v>
      </c>
      <c r="AB98" s="1">
        <v>24</v>
      </c>
      <c r="AC98" s="1">
        <v>824</v>
      </c>
      <c r="AD98" s="1" t="s">
        <v>58</v>
      </c>
      <c r="AE98" s="1">
        <v>1</v>
      </c>
    </row>
    <row r="99" spans="1:31" x14ac:dyDescent="0.25">
      <c r="A99" s="1">
        <v>1</v>
      </c>
      <c r="B99" s="4">
        <v>36707</v>
      </c>
      <c r="C99" s="1" t="s">
        <v>57</v>
      </c>
      <c r="D99" s="1">
        <v>195</v>
      </c>
      <c r="E99" s="1">
        <v>195</v>
      </c>
      <c r="F99">
        <v>0.90769230769230758</v>
      </c>
      <c r="G99" s="1">
        <v>9.2307692307692299E-2</v>
      </c>
      <c r="H99" s="1">
        <v>8.815384615384616</v>
      </c>
      <c r="I99" s="1">
        <v>0.53333333333333333</v>
      </c>
      <c r="J99" s="1">
        <v>0</v>
      </c>
      <c r="K99" s="1">
        <v>0</v>
      </c>
      <c r="L99" s="1">
        <v>0</v>
      </c>
      <c r="M99" s="1">
        <v>1</v>
      </c>
      <c r="N99" s="1">
        <v>0</v>
      </c>
      <c r="O99" s="1">
        <v>65</v>
      </c>
      <c r="P99" s="1">
        <v>14</v>
      </c>
      <c r="Q99" s="1">
        <v>15</v>
      </c>
      <c r="R99" s="1">
        <v>9</v>
      </c>
      <c r="S99" s="1">
        <v>176</v>
      </c>
      <c r="T99" s="1">
        <v>235</v>
      </c>
      <c r="U99" s="1">
        <v>115</v>
      </c>
      <c r="V99" s="1">
        <v>203.25</v>
      </c>
      <c r="W99" s="1">
        <v>163.875</v>
      </c>
      <c r="X99" s="1">
        <v>0.1079545454545454</v>
      </c>
      <c r="Y99" s="1">
        <v>0.69565217391304346</v>
      </c>
      <c r="Z99" s="1">
        <v>195</v>
      </c>
      <c r="AA99" s="1">
        <v>229</v>
      </c>
      <c r="AB99" s="1">
        <v>24</v>
      </c>
      <c r="AC99" s="1">
        <v>824</v>
      </c>
      <c r="AD99" s="1" t="s">
        <v>58</v>
      </c>
      <c r="AE99" s="1">
        <v>2</v>
      </c>
    </row>
    <row r="100" spans="1:31" x14ac:dyDescent="0.25">
      <c r="A100" s="1">
        <v>1</v>
      </c>
      <c r="B100" s="4">
        <v>36799</v>
      </c>
      <c r="C100" s="1" t="s">
        <v>57</v>
      </c>
      <c r="D100" s="1">
        <v>229</v>
      </c>
      <c r="E100" s="1">
        <v>229</v>
      </c>
      <c r="F100">
        <v>0.95633187772925765</v>
      </c>
      <c r="G100" s="1">
        <v>4.36681222707423E-2</v>
      </c>
      <c r="H100" s="1">
        <v>8.3755458515283845</v>
      </c>
      <c r="I100" s="1">
        <v>0.50655021834061131</v>
      </c>
      <c r="J100" s="1">
        <v>0</v>
      </c>
      <c r="K100" s="1">
        <v>0</v>
      </c>
      <c r="L100" s="1">
        <v>1</v>
      </c>
      <c r="M100" s="1">
        <v>0</v>
      </c>
      <c r="N100" s="1">
        <v>1</v>
      </c>
      <c r="O100" s="1">
        <v>77</v>
      </c>
      <c r="P100" s="1">
        <v>10</v>
      </c>
      <c r="Q100" s="1">
        <v>15</v>
      </c>
      <c r="R100" s="1">
        <v>12</v>
      </c>
      <c r="S100" s="1">
        <v>195</v>
      </c>
      <c r="T100" s="1">
        <v>176</v>
      </c>
      <c r="U100" s="1">
        <v>207</v>
      </c>
      <c r="V100" s="1">
        <v>208.75</v>
      </c>
      <c r="W100" s="1">
        <v>178</v>
      </c>
      <c r="X100" s="1">
        <v>0.17435897435897441</v>
      </c>
      <c r="Y100" s="1">
        <v>0.106280193236715</v>
      </c>
      <c r="Z100" s="1">
        <v>229</v>
      </c>
      <c r="AA100" s="1">
        <v>224</v>
      </c>
      <c r="AB100" s="1">
        <v>24</v>
      </c>
      <c r="AC100" s="1">
        <v>824</v>
      </c>
      <c r="AD100" s="1" t="s">
        <v>58</v>
      </c>
      <c r="AE100" s="1">
        <v>3</v>
      </c>
    </row>
    <row r="101" spans="1:31" x14ac:dyDescent="0.25">
      <c r="A101" s="1">
        <v>1</v>
      </c>
      <c r="B101" s="4">
        <v>36891</v>
      </c>
      <c r="C101" s="1" t="s">
        <v>57</v>
      </c>
      <c r="D101" s="1">
        <v>224</v>
      </c>
      <c r="E101" s="1">
        <v>224</v>
      </c>
      <c r="F101">
        <v>0.9464285714285714</v>
      </c>
      <c r="G101" s="1">
        <v>5.3571428571428499E-2</v>
      </c>
      <c r="H101" s="1">
        <v>8.6160714285714288</v>
      </c>
      <c r="I101" s="1">
        <v>0.48660714285714279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71</v>
      </c>
      <c r="P101" s="1">
        <v>12</v>
      </c>
      <c r="Q101" s="1">
        <v>12</v>
      </c>
      <c r="R101" s="1">
        <v>14</v>
      </c>
      <c r="S101" s="1">
        <v>229</v>
      </c>
      <c r="T101" s="1">
        <v>195</v>
      </c>
      <c r="U101" s="1">
        <v>235</v>
      </c>
      <c r="V101" s="1">
        <v>206</v>
      </c>
      <c r="W101" s="1">
        <v>189</v>
      </c>
      <c r="X101" s="1">
        <v>-2.1834061135371199E-2</v>
      </c>
      <c r="Y101" s="1">
        <v>-4.6808510638297801E-2</v>
      </c>
      <c r="Z101" s="1">
        <v>224</v>
      </c>
      <c r="AA101" s="1">
        <v>210</v>
      </c>
      <c r="AB101" s="1">
        <v>24</v>
      </c>
      <c r="AC101" s="1">
        <v>824</v>
      </c>
      <c r="AD101" s="1" t="s">
        <v>58</v>
      </c>
      <c r="AE101" s="1">
        <v>4</v>
      </c>
    </row>
    <row r="102" spans="1:31" x14ac:dyDescent="0.25">
      <c r="A102" s="1">
        <v>1</v>
      </c>
      <c r="B102" s="4">
        <v>36981</v>
      </c>
      <c r="C102" s="1" t="s">
        <v>57</v>
      </c>
      <c r="D102" s="1">
        <v>210</v>
      </c>
      <c r="E102" s="1">
        <v>210</v>
      </c>
      <c r="F102">
        <v>0.97619047619047616</v>
      </c>
      <c r="G102" s="1">
        <v>2.3809523809523801E-2</v>
      </c>
      <c r="H102" s="1">
        <v>9.1285714285714281</v>
      </c>
      <c r="I102" s="1">
        <v>0.5</v>
      </c>
      <c r="J102" s="1">
        <v>0</v>
      </c>
      <c r="K102" s="1">
        <v>0</v>
      </c>
      <c r="L102" s="1">
        <v>3</v>
      </c>
      <c r="M102" s="1">
        <v>0</v>
      </c>
      <c r="N102" s="1">
        <v>0</v>
      </c>
      <c r="O102" s="1">
        <v>62</v>
      </c>
      <c r="P102" s="1">
        <v>18</v>
      </c>
      <c r="Q102" s="1">
        <v>11</v>
      </c>
      <c r="R102" s="1">
        <v>11</v>
      </c>
      <c r="S102" s="1">
        <v>224</v>
      </c>
      <c r="T102" s="1">
        <v>229</v>
      </c>
      <c r="U102" s="1">
        <v>176</v>
      </c>
      <c r="V102" s="1">
        <v>214.5</v>
      </c>
      <c r="W102" s="1">
        <v>198.875</v>
      </c>
      <c r="X102" s="1">
        <v>-6.25E-2</v>
      </c>
      <c r="Y102" s="1">
        <v>0.19318181818181809</v>
      </c>
      <c r="Z102" s="1">
        <v>210</v>
      </c>
      <c r="AA102" s="1">
        <v>216</v>
      </c>
      <c r="AB102" s="1">
        <v>25</v>
      </c>
      <c r="AC102" s="1">
        <v>797</v>
      </c>
      <c r="AD102" s="1" t="s">
        <v>59</v>
      </c>
      <c r="AE102" s="1">
        <v>1</v>
      </c>
    </row>
    <row r="103" spans="1:31" x14ac:dyDescent="0.25">
      <c r="A103" s="1">
        <v>1</v>
      </c>
      <c r="B103" s="4">
        <v>37072</v>
      </c>
      <c r="C103" s="1" t="s">
        <v>57</v>
      </c>
      <c r="D103" s="1">
        <v>216</v>
      </c>
      <c r="E103" s="1">
        <v>216</v>
      </c>
      <c r="F103">
        <v>0.97222222222222221</v>
      </c>
      <c r="G103" s="1">
        <v>2.3148148148148098E-2</v>
      </c>
      <c r="H103" s="1">
        <v>8.7916666666666661</v>
      </c>
      <c r="I103" s="1">
        <v>0.52777777777777779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71</v>
      </c>
      <c r="P103" s="1">
        <v>9</v>
      </c>
      <c r="Q103" s="1">
        <v>12</v>
      </c>
      <c r="R103" s="1">
        <v>21</v>
      </c>
      <c r="S103" s="1">
        <v>210</v>
      </c>
      <c r="T103" s="1">
        <v>224</v>
      </c>
      <c r="U103" s="1">
        <v>195</v>
      </c>
      <c r="V103" s="1">
        <v>219.75</v>
      </c>
      <c r="W103" s="1">
        <v>211.5</v>
      </c>
      <c r="X103" s="1">
        <v>2.8571428571428401E-2</v>
      </c>
      <c r="Y103" s="1">
        <v>0.1076923076923077</v>
      </c>
      <c r="Z103" s="1">
        <v>216</v>
      </c>
      <c r="AA103" s="1">
        <v>192</v>
      </c>
      <c r="AB103" s="1">
        <v>25</v>
      </c>
      <c r="AC103" s="1">
        <v>797</v>
      </c>
      <c r="AD103" s="1" t="s">
        <v>59</v>
      </c>
      <c r="AE103" s="1">
        <v>2</v>
      </c>
    </row>
    <row r="104" spans="1:31" x14ac:dyDescent="0.25">
      <c r="A104" s="1">
        <v>1</v>
      </c>
      <c r="B104" s="4">
        <v>37164</v>
      </c>
      <c r="C104" s="1" t="s">
        <v>57</v>
      </c>
      <c r="D104" s="1">
        <v>192</v>
      </c>
      <c r="E104" s="1">
        <v>192</v>
      </c>
      <c r="F104">
        <v>0.97916666666666663</v>
      </c>
      <c r="G104" s="1">
        <v>1.5625E-2</v>
      </c>
      <c r="H104" s="1">
        <v>8.5885416666666661</v>
      </c>
      <c r="I104" s="1">
        <v>0.52604166666666663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62</v>
      </c>
      <c r="P104" s="1">
        <v>13</v>
      </c>
      <c r="Q104" s="1">
        <v>11</v>
      </c>
      <c r="R104" s="1">
        <v>15</v>
      </c>
      <c r="S104" s="1">
        <v>216</v>
      </c>
      <c r="T104" s="1">
        <v>210</v>
      </c>
      <c r="U104" s="1">
        <v>229</v>
      </c>
      <c r="V104" s="1">
        <v>210.5</v>
      </c>
      <c r="W104" s="1">
        <v>209.625</v>
      </c>
      <c r="X104" s="1">
        <v>-0.1111111111111111</v>
      </c>
      <c r="Y104" s="1">
        <v>-0.16157205240174671</v>
      </c>
      <c r="Z104" s="1">
        <v>192</v>
      </c>
      <c r="AA104" s="1">
        <v>179</v>
      </c>
      <c r="AB104" s="1">
        <v>25</v>
      </c>
      <c r="AC104" s="1">
        <v>797</v>
      </c>
      <c r="AD104" s="1" t="s">
        <v>59</v>
      </c>
      <c r="AE104" s="1">
        <v>3</v>
      </c>
    </row>
    <row r="105" spans="1:31" x14ac:dyDescent="0.25">
      <c r="A105" s="1">
        <v>1</v>
      </c>
      <c r="B105" s="4">
        <v>37256</v>
      </c>
      <c r="C105" s="1" t="s">
        <v>57</v>
      </c>
      <c r="D105" s="1">
        <v>179</v>
      </c>
      <c r="E105" s="1">
        <v>179</v>
      </c>
      <c r="F105">
        <v>0.97765363128491622</v>
      </c>
      <c r="G105" s="1">
        <v>2.23463687150838E-2</v>
      </c>
      <c r="H105" s="1">
        <v>8.1173184357541892</v>
      </c>
      <c r="I105" s="1">
        <v>0.47486033519553073</v>
      </c>
      <c r="J105" s="1">
        <v>0</v>
      </c>
      <c r="K105" s="1">
        <v>0</v>
      </c>
      <c r="L105" s="1">
        <v>1</v>
      </c>
      <c r="M105" s="1">
        <v>1</v>
      </c>
      <c r="N105" s="1">
        <v>2</v>
      </c>
      <c r="O105" s="1">
        <v>47</v>
      </c>
      <c r="P105" s="1">
        <v>14</v>
      </c>
      <c r="Q105" s="1">
        <v>12</v>
      </c>
      <c r="R105" s="1">
        <v>8</v>
      </c>
      <c r="S105" s="1">
        <v>192</v>
      </c>
      <c r="T105" s="1">
        <v>216</v>
      </c>
      <c r="U105" s="1">
        <v>224</v>
      </c>
      <c r="V105" s="1">
        <v>199.25</v>
      </c>
      <c r="W105" s="1">
        <v>202.625</v>
      </c>
      <c r="X105" s="1">
        <v>-6.7708333333333301E-2</v>
      </c>
      <c r="Y105" s="1">
        <v>-0.2008928571428571</v>
      </c>
      <c r="Z105" s="1">
        <v>179</v>
      </c>
      <c r="AA105" s="1">
        <v>148</v>
      </c>
      <c r="AB105" s="1">
        <v>25</v>
      </c>
      <c r="AC105" s="1">
        <v>797</v>
      </c>
      <c r="AD105" s="1" t="s">
        <v>59</v>
      </c>
      <c r="AE105" s="1">
        <v>4</v>
      </c>
    </row>
    <row r="106" spans="1:31" x14ac:dyDescent="0.25">
      <c r="A106" s="1">
        <v>1</v>
      </c>
      <c r="B106" s="4">
        <v>37346</v>
      </c>
      <c r="C106" s="1" t="s">
        <v>57</v>
      </c>
      <c r="D106" s="1">
        <v>148</v>
      </c>
      <c r="E106" s="1">
        <v>148</v>
      </c>
      <c r="F106">
        <v>0.97297297297297303</v>
      </c>
      <c r="G106" s="1">
        <v>2.7027027027027001E-2</v>
      </c>
      <c r="H106" s="1">
        <v>7.8581081081081079</v>
      </c>
      <c r="I106" s="1">
        <v>0.47972972972972971</v>
      </c>
      <c r="J106" s="1">
        <v>0</v>
      </c>
      <c r="K106" s="1">
        <v>1</v>
      </c>
      <c r="L106" s="1">
        <v>0</v>
      </c>
      <c r="M106" s="1">
        <v>0</v>
      </c>
      <c r="N106" s="1">
        <v>0</v>
      </c>
      <c r="O106" s="1">
        <v>44</v>
      </c>
      <c r="P106" s="1">
        <v>9</v>
      </c>
      <c r="Q106" s="1">
        <v>10</v>
      </c>
      <c r="R106" s="1">
        <v>7</v>
      </c>
      <c r="S106" s="1">
        <v>179</v>
      </c>
      <c r="T106" s="1">
        <v>192</v>
      </c>
      <c r="U106" s="1">
        <v>210</v>
      </c>
      <c r="V106" s="1">
        <v>183.75</v>
      </c>
      <c r="W106" s="1">
        <v>199.125</v>
      </c>
      <c r="X106" s="1">
        <v>-0.1731843575418994</v>
      </c>
      <c r="Y106" s="1">
        <v>-0.29523809523809519</v>
      </c>
      <c r="Z106" s="1">
        <v>148</v>
      </c>
      <c r="AA106" s="1">
        <v>220</v>
      </c>
      <c r="AB106" s="1">
        <v>26</v>
      </c>
      <c r="AC106" s="1">
        <v>781</v>
      </c>
      <c r="AD106" s="1" t="s">
        <v>60</v>
      </c>
      <c r="AE106" s="1">
        <v>1</v>
      </c>
    </row>
    <row r="107" spans="1:31" x14ac:dyDescent="0.25">
      <c r="A107" s="1">
        <v>1</v>
      </c>
      <c r="B107" s="4">
        <v>37437</v>
      </c>
      <c r="C107" s="1" t="s">
        <v>57</v>
      </c>
      <c r="D107" s="1">
        <v>220</v>
      </c>
      <c r="E107" s="1">
        <v>220</v>
      </c>
      <c r="F107">
        <v>0.98181818181818181</v>
      </c>
      <c r="G107" s="1">
        <v>9.0909090909090003E-3</v>
      </c>
      <c r="H107" s="1">
        <v>9.3090909090909086</v>
      </c>
      <c r="I107" s="1">
        <v>0.53181818181818186</v>
      </c>
      <c r="J107" s="1">
        <v>0</v>
      </c>
      <c r="K107" s="1">
        <v>1</v>
      </c>
      <c r="L107" s="1">
        <v>2</v>
      </c>
      <c r="M107" s="1">
        <v>0</v>
      </c>
      <c r="N107" s="1">
        <v>1</v>
      </c>
      <c r="O107" s="1">
        <v>76</v>
      </c>
      <c r="P107" s="1">
        <v>17</v>
      </c>
      <c r="Q107" s="1">
        <v>9</v>
      </c>
      <c r="R107" s="1">
        <v>11</v>
      </c>
      <c r="S107" s="1">
        <v>148</v>
      </c>
      <c r="T107" s="1">
        <v>179</v>
      </c>
      <c r="U107" s="1">
        <v>216</v>
      </c>
      <c r="V107" s="1">
        <v>184.75</v>
      </c>
      <c r="W107" s="1">
        <v>202.25</v>
      </c>
      <c r="X107" s="1">
        <v>0.4864864864864864</v>
      </c>
      <c r="Y107" s="1">
        <v>1.8518518518518601E-2</v>
      </c>
      <c r="Z107" s="1">
        <v>220</v>
      </c>
      <c r="AA107" s="1">
        <v>202</v>
      </c>
      <c r="AB107" s="1">
        <v>26</v>
      </c>
      <c r="AC107" s="1">
        <v>781</v>
      </c>
      <c r="AD107" s="1" t="s">
        <v>60</v>
      </c>
      <c r="AE107" s="1">
        <v>2</v>
      </c>
    </row>
    <row r="108" spans="1:31" x14ac:dyDescent="0.25">
      <c r="A108" s="1">
        <v>1</v>
      </c>
      <c r="B108" s="4">
        <v>37529</v>
      </c>
      <c r="C108" s="1" t="s">
        <v>57</v>
      </c>
      <c r="D108" s="1">
        <v>202</v>
      </c>
      <c r="E108" s="1">
        <v>202</v>
      </c>
      <c r="F108">
        <v>0.96039603960396036</v>
      </c>
      <c r="G108" s="1">
        <v>3.4653465346534601E-2</v>
      </c>
      <c r="H108" s="1">
        <v>8.5396039603960396</v>
      </c>
      <c r="I108" s="1">
        <v>0.52970297029702973</v>
      </c>
      <c r="J108" s="1">
        <v>0</v>
      </c>
      <c r="K108" s="1">
        <v>1</v>
      </c>
      <c r="L108" s="1">
        <v>3</v>
      </c>
      <c r="M108" s="1">
        <v>3</v>
      </c>
      <c r="N108" s="1">
        <v>2</v>
      </c>
      <c r="O108" s="1">
        <v>61</v>
      </c>
      <c r="P108" s="1">
        <v>18</v>
      </c>
      <c r="Q108" s="1">
        <v>8</v>
      </c>
      <c r="R108" s="1">
        <v>11</v>
      </c>
      <c r="S108" s="1">
        <v>220</v>
      </c>
      <c r="T108" s="1">
        <v>148</v>
      </c>
      <c r="U108" s="1">
        <v>192</v>
      </c>
      <c r="V108" s="1">
        <v>187.25</v>
      </c>
      <c r="W108" s="1">
        <v>198.875</v>
      </c>
      <c r="X108" s="1">
        <v>-8.1818181818181707E-2</v>
      </c>
      <c r="Y108" s="1">
        <v>5.2083333333333197E-2</v>
      </c>
      <c r="Z108" s="1">
        <v>202</v>
      </c>
      <c r="AA108" s="1">
        <v>211</v>
      </c>
      <c r="AB108" s="1">
        <v>26</v>
      </c>
      <c r="AC108" s="1">
        <v>781</v>
      </c>
      <c r="AD108" s="1" t="s">
        <v>60</v>
      </c>
      <c r="AE108" s="1">
        <v>3</v>
      </c>
    </row>
    <row r="109" spans="1:31" x14ac:dyDescent="0.25">
      <c r="A109" s="1">
        <v>1</v>
      </c>
      <c r="B109" s="4">
        <v>37621</v>
      </c>
      <c r="C109" s="1" t="s">
        <v>57</v>
      </c>
      <c r="D109" s="1">
        <v>211</v>
      </c>
      <c r="E109" s="1">
        <v>211</v>
      </c>
      <c r="F109">
        <v>1</v>
      </c>
      <c r="G109" s="1">
        <v>0</v>
      </c>
      <c r="H109" s="1">
        <v>9.0995260663507107</v>
      </c>
      <c r="I109" s="1">
        <v>0.52606635071090047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73</v>
      </c>
      <c r="P109" s="1">
        <v>19</v>
      </c>
      <c r="Q109" s="1">
        <v>5</v>
      </c>
      <c r="R109" s="1">
        <v>13</v>
      </c>
      <c r="S109" s="1">
        <v>202</v>
      </c>
      <c r="T109" s="1">
        <v>220</v>
      </c>
      <c r="U109" s="1">
        <v>179</v>
      </c>
      <c r="V109" s="1">
        <v>195.25</v>
      </c>
      <c r="W109" s="1">
        <v>197.25</v>
      </c>
      <c r="X109" s="1">
        <v>4.4554455445544497E-2</v>
      </c>
      <c r="Y109" s="1">
        <v>0.1787709497206704</v>
      </c>
      <c r="Z109" s="1">
        <v>211</v>
      </c>
      <c r="AA109" s="1">
        <v>159</v>
      </c>
      <c r="AB109" s="1">
        <v>26</v>
      </c>
      <c r="AC109" s="1">
        <v>781</v>
      </c>
      <c r="AD109" s="1" t="s">
        <v>60</v>
      </c>
      <c r="AE109" s="1">
        <v>4</v>
      </c>
    </row>
    <row r="110" spans="1:31" x14ac:dyDescent="0.25">
      <c r="A110" s="1">
        <v>1</v>
      </c>
      <c r="B110" s="4">
        <v>37711</v>
      </c>
      <c r="C110" s="1" t="s">
        <v>57</v>
      </c>
      <c r="D110" s="1">
        <v>159</v>
      </c>
      <c r="E110" s="1">
        <v>159</v>
      </c>
      <c r="F110">
        <v>0.99371069182389937</v>
      </c>
      <c r="G110" s="1">
        <v>6.2893081761005998E-3</v>
      </c>
      <c r="H110" s="1">
        <v>8.7547169811320753</v>
      </c>
      <c r="I110" s="1">
        <v>0.5911949685534591</v>
      </c>
      <c r="J110" s="1">
        <v>0</v>
      </c>
      <c r="K110" s="1">
        <v>1</v>
      </c>
      <c r="L110" s="1">
        <v>1</v>
      </c>
      <c r="M110" s="1">
        <v>1</v>
      </c>
      <c r="N110" s="1">
        <v>0</v>
      </c>
      <c r="O110" s="1">
        <v>60</v>
      </c>
      <c r="P110" s="1">
        <v>13</v>
      </c>
      <c r="Q110" s="1">
        <v>8</v>
      </c>
      <c r="R110" s="1">
        <v>10</v>
      </c>
      <c r="S110" s="1">
        <v>211</v>
      </c>
      <c r="T110" s="1">
        <v>202</v>
      </c>
      <c r="U110" s="1">
        <v>148</v>
      </c>
      <c r="V110" s="1">
        <v>198</v>
      </c>
      <c r="W110" s="1">
        <v>190.875</v>
      </c>
      <c r="X110" s="1">
        <v>-0.24644549763033169</v>
      </c>
      <c r="Y110" s="1">
        <v>7.4324324324324301E-2</v>
      </c>
      <c r="Z110" s="1">
        <v>159</v>
      </c>
      <c r="AA110" s="1">
        <v>187</v>
      </c>
      <c r="AB110" s="1">
        <v>27</v>
      </c>
      <c r="AC110" s="1">
        <v>663</v>
      </c>
      <c r="AD110" s="1" t="s">
        <v>61</v>
      </c>
      <c r="AE110" s="1">
        <v>1</v>
      </c>
    </row>
    <row r="111" spans="1:31" x14ac:dyDescent="0.25">
      <c r="A111" s="1">
        <v>1</v>
      </c>
      <c r="B111" s="4">
        <v>37802</v>
      </c>
      <c r="C111" s="1" t="s">
        <v>57</v>
      </c>
      <c r="D111" s="1">
        <v>187</v>
      </c>
      <c r="E111" s="1">
        <v>187</v>
      </c>
      <c r="F111">
        <v>1</v>
      </c>
      <c r="G111" s="1">
        <v>0</v>
      </c>
      <c r="H111" s="1">
        <v>8.7860962566844911</v>
      </c>
      <c r="I111" s="1">
        <v>0.52941176470588236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68</v>
      </c>
      <c r="P111" s="1">
        <v>11</v>
      </c>
      <c r="Q111" s="1">
        <v>7</v>
      </c>
      <c r="R111" s="1">
        <v>11</v>
      </c>
      <c r="S111" s="1">
        <v>159</v>
      </c>
      <c r="T111" s="1">
        <v>211</v>
      </c>
      <c r="U111" s="1">
        <v>220</v>
      </c>
      <c r="V111" s="1">
        <v>189.75</v>
      </c>
      <c r="W111" s="1">
        <v>187.25</v>
      </c>
      <c r="X111" s="1">
        <v>0.17610062893081749</v>
      </c>
      <c r="Y111" s="1">
        <v>-0.15</v>
      </c>
      <c r="Z111" s="1">
        <v>187</v>
      </c>
      <c r="AA111" s="1">
        <v>191</v>
      </c>
      <c r="AB111" s="1">
        <v>27</v>
      </c>
      <c r="AC111" s="1">
        <v>663</v>
      </c>
      <c r="AD111" s="1" t="s">
        <v>61</v>
      </c>
      <c r="AE111" s="1">
        <v>2</v>
      </c>
    </row>
    <row r="112" spans="1:31" x14ac:dyDescent="0.25">
      <c r="A112" s="1">
        <v>1</v>
      </c>
      <c r="B112" s="4">
        <v>37894</v>
      </c>
      <c r="C112" s="1" t="s">
        <v>57</v>
      </c>
      <c r="D112" s="1">
        <v>191</v>
      </c>
      <c r="E112" s="1">
        <v>191</v>
      </c>
      <c r="F112">
        <v>0.97905759162303663</v>
      </c>
      <c r="G112" s="1">
        <v>2.09424083769633E-2</v>
      </c>
      <c r="H112" s="1">
        <v>9.4345549738219887</v>
      </c>
      <c r="I112" s="1">
        <v>0.54450261780104714</v>
      </c>
      <c r="J112" s="1">
        <v>0</v>
      </c>
      <c r="K112" s="1">
        <v>1</v>
      </c>
      <c r="L112" s="1">
        <v>3</v>
      </c>
      <c r="M112" s="1">
        <v>1</v>
      </c>
      <c r="N112" s="1">
        <v>0</v>
      </c>
      <c r="O112" s="1">
        <v>70</v>
      </c>
      <c r="P112" s="1">
        <v>10</v>
      </c>
      <c r="Q112" s="1">
        <v>4</v>
      </c>
      <c r="R112" s="1">
        <v>15</v>
      </c>
      <c r="S112" s="1">
        <v>187</v>
      </c>
      <c r="T112" s="1">
        <v>159</v>
      </c>
      <c r="U112" s="1">
        <v>202</v>
      </c>
      <c r="V112" s="1">
        <v>187</v>
      </c>
      <c r="W112" s="1">
        <v>187.125</v>
      </c>
      <c r="X112" s="1">
        <v>2.1390374331550801E-2</v>
      </c>
      <c r="Y112" s="1">
        <v>-5.4455445544554497E-2</v>
      </c>
      <c r="Z112" s="1">
        <v>191</v>
      </c>
      <c r="AA112" s="1">
        <v>126</v>
      </c>
      <c r="AB112" s="1">
        <v>27</v>
      </c>
      <c r="AC112" s="1">
        <v>663</v>
      </c>
      <c r="AD112" s="1" t="s">
        <v>61</v>
      </c>
      <c r="AE112" s="1">
        <v>3</v>
      </c>
    </row>
    <row r="113" spans="1:31" x14ac:dyDescent="0.25">
      <c r="A113" s="1">
        <v>1</v>
      </c>
      <c r="B113" s="4">
        <v>37986</v>
      </c>
      <c r="C113" s="1" t="s">
        <v>57</v>
      </c>
      <c r="D113" s="1">
        <v>126</v>
      </c>
      <c r="E113" s="1">
        <v>126</v>
      </c>
      <c r="F113">
        <v>0.99206349206349198</v>
      </c>
      <c r="G113" s="1">
        <v>7.9365079365078996E-3</v>
      </c>
      <c r="H113" s="1">
        <v>8.674603174603174</v>
      </c>
      <c r="I113" s="1">
        <v>0.53968253968253965</v>
      </c>
      <c r="J113" s="1">
        <v>0</v>
      </c>
      <c r="K113" s="1">
        <v>0</v>
      </c>
      <c r="L113" s="1">
        <v>1</v>
      </c>
      <c r="M113" s="1">
        <v>1</v>
      </c>
      <c r="N113" s="1">
        <v>1</v>
      </c>
      <c r="O113" s="1">
        <v>40</v>
      </c>
      <c r="P113" s="1">
        <v>9</v>
      </c>
      <c r="Q113" s="1">
        <v>4</v>
      </c>
      <c r="R113" s="1">
        <v>12</v>
      </c>
      <c r="S113" s="1">
        <v>191</v>
      </c>
      <c r="T113" s="1">
        <v>187</v>
      </c>
      <c r="U113" s="1">
        <v>211</v>
      </c>
      <c r="V113" s="1">
        <v>165.75</v>
      </c>
      <c r="W113" s="1">
        <v>180.5</v>
      </c>
      <c r="X113" s="1">
        <v>-0.34031413612565442</v>
      </c>
      <c r="Y113" s="1">
        <v>-0.40284360189573459</v>
      </c>
      <c r="Z113" s="1">
        <v>126</v>
      </c>
      <c r="AA113" s="1">
        <v>136</v>
      </c>
      <c r="AB113" s="1">
        <v>27</v>
      </c>
      <c r="AC113" s="1">
        <v>663</v>
      </c>
      <c r="AD113" s="1" t="s">
        <v>61</v>
      </c>
      <c r="AE113" s="1">
        <v>4</v>
      </c>
    </row>
    <row r="114" spans="1:31" x14ac:dyDescent="0.25">
      <c r="A114" s="1">
        <v>1</v>
      </c>
      <c r="B114" s="4">
        <v>38077</v>
      </c>
      <c r="C114" s="1" t="s">
        <v>57</v>
      </c>
      <c r="D114" s="1">
        <v>136</v>
      </c>
      <c r="E114" s="1">
        <v>136</v>
      </c>
      <c r="F114">
        <v>0.98529411764705876</v>
      </c>
      <c r="G114" s="1">
        <v>1.47058823529411E-2</v>
      </c>
      <c r="H114" s="1">
        <v>9.6691176470588243</v>
      </c>
      <c r="I114" s="1">
        <v>0.53676470588235292</v>
      </c>
      <c r="J114" s="1">
        <v>0</v>
      </c>
      <c r="K114" s="1">
        <v>0</v>
      </c>
      <c r="L114" s="1">
        <v>4</v>
      </c>
      <c r="M114" s="1">
        <v>1</v>
      </c>
      <c r="N114" s="1">
        <v>0</v>
      </c>
      <c r="O114" s="1">
        <v>45</v>
      </c>
      <c r="P114" s="1">
        <v>11</v>
      </c>
      <c r="Q114" s="1">
        <v>5</v>
      </c>
      <c r="R114" s="1">
        <v>7</v>
      </c>
      <c r="S114" s="1">
        <v>126</v>
      </c>
      <c r="T114" s="1">
        <v>191</v>
      </c>
      <c r="U114" s="1">
        <v>159</v>
      </c>
      <c r="V114" s="1">
        <v>160</v>
      </c>
      <c r="W114" s="1">
        <v>179</v>
      </c>
      <c r="X114" s="1">
        <v>7.9365079365079305E-2</v>
      </c>
      <c r="Y114" s="1">
        <v>-0.14465408805031441</v>
      </c>
      <c r="Z114" s="1">
        <v>136</v>
      </c>
      <c r="AA114" s="1">
        <v>145</v>
      </c>
      <c r="AB114" s="1">
        <v>28</v>
      </c>
      <c r="AC114" s="1">
        <v>513</v>
      </c>
      <c r="AD114" s="1" t="s">
        <v>62</v>
      </c>
      <c r="AE114" s="1">
        <v>1</v>
      </c>
    </row>
    <row r="115" spans="1:31" x14ac:dyDescent="0.25">
      <c r="A115" s="1">
        <v>1</v>
      </c>
      <c r="B115" s="4">
        <v>38168</v>
      </c>
      <c r="C115" s="1" t="s">
        <v>57</v>
      </c>
      <c r="D115" s="1">
        <v>145</v>
      </c>
      <c r="E115" s="1">
        <v>145</v>
      </c>
      <c r="F115">
        <v>0.99310344827586206</v>
      </c>
      <c r="G115" s="1">
        <v>6.8965517241378997E-3</v>
      </c>
      <c r="H115" s="1">
        <v>8.9034482758620683</v>
      </c>
      <c r="I115" s="1">
        <v>0.6</v>
      </c>
      <c r="J115" s="1">
        <v>0</v>
      </c>
      <c r="K115" s="1">
        <v>0</v>
      </c>
      <c r="L115" s="1">
        <v>4</v>
      </c>
      <c r="M115" s="1">
        <v>1</v>
      </c>
      <c r="N115" s="1">
        <v>0</v>
      </c>
      <c r="O115" s="1">
        <v>53</v>
      </c>
      <c r="P115" s="1">
        <v>6</v>
      </c>
      <c r="Q115" s="1">
        <v>2</v>
      </c>
      <c r="R115" s="1">
        <v>21</v>
      </c>
      <c r="S115" s="1">
        <v>136</v>
      </c>
      <c r="T115" s="1">
        <v>126</v>
      </c>
      <c r="U115" s="1">
        <v>187</v>
      </c>
      <c r="V115" s="1">
        <v>149.5</v>
      </c>
      <c r="W115" s="1">
        <v>169.625</v>
      </c>
      <c r="X115" s="1">
        <v>6.6176470588235198E-2</v>
      </c>
      <c r="Y115" s="1">
        <v>-0.2245989304812834</v>
      </c>
      <c r="Z115" s="1">
        <v>145</v>
      </c>
      <c r="AA115" s="1">
        <v>125</v>
      </c>
      <c r="AB115" s="1">
        <v>28</v>
      </c>
      <c r="AC115" s="1">
        <v>513</v>
      </c>
      <c r="AD115" s="1" t="s">
        <v>62</v>
      </c>
      <c r="AE115" s="1">
        <v>2</v>
      </c>
    </row>
    <row r="116" spans="1:31" x14ac:dyDescent="0.25">
      <c r="A116" s="1">
        <v>1</v>
      </c>
      <c r="B116" s="4">
        <v>38260</v>
      </c>
      <c r="C116" s="1" t="s">
        <v>57</v>
      </c>
      <c r="D116" s="1">
        <v>125</v>
      </c>
      <c r="E116" s="1">
        <v>125</v>
      </c>
      <c r="F116">
        <v>0.97599999999999998</v>
      </c>
      <c r="G116" s="1">
        <v>2.4E-2</v>
      </c>
      <c r="H116" s="1">
        <v>8.6319999999999997</v>
      </c>
      <c r="I116" s="1">
        <v>0.496</v>
      </c>
      <c r="J116" s="1">
        <v>0</v>
      </c>
      <c r="K116" s="1">
        <v>0</v>
      </c>
      <c r="L116" s="1">
        <v>0</v>
      </c>
      <c r="M116" s="1">
        <v>3</v>
      </c>
      <c r="N116" s="1">
        <v>0</v>
      </c>
      <c r="O116" s="1">
        <v>49</v>
      </c>
      <c r="P116" s="1">
        <v>5</v>
      </c>
      <c r="Q116" s="1">
        <v>1</v>
      </c>
      <c r="R116" s="1">
        <v>4</v>
      </c>
      <c r="S116" s="1">
        <v>145</v>
      </c>
      <c r="T116" s="1">
        <v>136</v>
      </c>
      <c r="U116" s="1">
        <v>191</v>
      </c>
      <c r="V116" s="1">
        <v>133</v>
      </c>
      <c r="W116" s="1">
        <v>160</v>
      </c>
      <c r="X116" s="1">
        <v>-0.13793103448275859</v>
      </c>
      <c r="Y116" s="1">
        <v>-0.34554973821989532</v>
      </c>
      <c r="Z116" s="1">
        <v>125</v>
      </c>
      <c r="AA116" s="1">
        <v>107</v>
      </c>
      <c r="AB116" s="1">
        <v>28</v>
      </c>
      <c r="AC116" s="1">
        <v>513</v>
      </c>
      <c r="AD116" s="1" t="s">
        <v>62</v>
      </c>
      <c r="AE116" s="1">
        <v>3</v>
      </c>
    </row>
    <row r="117" spans="1:31" x14ac:dyDescent="0.25">
      <c r="A117" s="1">
        <v>1</v>
      </c>
      <c r="B117" s="4">
        <v>38352</v>
      </c>
      <c r="C117" s="1" t="s">
        <v>57</v>
      </c>
      <c r="D117" s="1">
        <v>107</v>
      </c>
      <c r="E117" s="1">
        <v>107</v>
      </c>
      <c r="F117">
        <v>0.99065420560747663</v>
      </c>
      <c r="G117" s="1">
        <v>9.3457943925232996E-3</v>
      </c>
      <c r="H117" s="1">
        <v>8.8598130841121492</v>
      </c>
      <c r="I117" s="1">
        <v>0.58878504672897192</v>
      </c>
      <c r="J117" s="1">
        <v>0</v>
      </c>
      <c r="K117" s="1">
        <v>0</v>
      </c>
      <c r="L117" s="1">
        <v>0</v>
      </c>
      <c r="M117" s="1">
        <v>2</v>
      </c>
      <c r="N117" s="1">
        <v>0</v>
      </c>
      <c r="O117" s="1">
        <v>42</v>
      </c>
      <c r="P117" s="1">
        <v>6</v>
      </c>
      <c r="Q117" s="1">
        <v>4</v>
      </c>
      <c r="R117" s="1">
        <v>9</v>
      </c>
      <c r="S117" s="1">
        <v>125</v>
      </c>
      <c r="T117" s="1">
        <v>145</v>
      </c>
      <c r="U117" s="1">
        <v>126</v>
      </c>
      <c r="V117" s="1">
        <v>128.25</v>
      </c>
      <c r="W117" s="1">
        <v>147</v>
      </c>
      <c r="X117" s="1">
        <v>-0.14399999999999999</v>
      </c>
      <c r="Y117" s="1">
        <v>-0.15079365079365081</v>
      </c>
      <c r="Z117" s="1">
        <v>107</v>
      </c>
      <c r="AA117" s="1">
        <v>91</v>
      </c>
      <c r="AB117" s="1">
        <v>28</v>
      </c>
      <c r="AC117" s="1">
        <v>513</v>
      </c>
      <c r="AD117" s="1" t="s">
        <v>62</v>
      </c>
      <c r="AE117" s="1">
        <v>4</v>
      </c>
    </row>
    <row r="118" spans="1:31" x14ac:dyDescent="0.25">
      <c r="A118" s="1">
        <v>1</v>
      </c>
      <c r="B118" s="4">
        <v>38442</v>
      </c>
      <c r="C118" s="1" t="s">
        <v>57</v>
      </c>
      <c r="D118" s="1">
        <v>91</v>
      </c>
      <c r="E118" s="1">
        <v>91</v>
      </c>
      <c r="F118">
        <v>0.97802197802197799</v>
      </c>
      <c r="G118" s="1">
        <v>2.19780219780219E-2</v>
      </c>
      <c r="H118" s="1">
        <v>9.8241758241758248</v>
      </c>
      <c r="I118" s="1">
        <v>0.48351648351648352</v>
      </c>
      <c r="J118" s="1">
        <v>0</v>
      </c>
      <c r="K118" s="1">
        <v>1</v>
      </c>
      <c r="L118" s="1">
        <v>2</v>
      </c>
      <c r="M118" s="1">
        <v>1</v>
      </c>
      <c r="N118" s="1">
        <v>0</v>
      </c>
      <c r="O118" s="1">
        <v>29</v>
      </c>
      <c r="P118" s="1">
        <v>2</v>
      </c>
      <c r="Q118" s="1">
        <v>2</v>
      </c>
      <c r="R118" s="1">
        <v>7</v>
      </c>
      <c r="S118" s="1">
        <v>107</v>
      </c>
      <c r="T118" s="1">
        <v>125</v>
      </c>
      <c r="U118" s="1">
        <v>136</v>
      </c>
      <c r="V118" s="1">
        <v>117</v>
      </c>
      <c r="W118" s="1">
        <v>138.5</v>
      </c>
      <c r="X118" s="1">
        <v>-0.14953271028037379</v>
      </c>
      <c r="Y118" s="1">
        <v>-0.33088235294117652</v>
      </c>
      <c r="Z118" s="1">
        <v>91</v>
      </c>
      <c r="AA118" s="1">
        <v>101</v>
      </c>
      <c r="AB118" s="1">
        <v>29</v>
      </c>
      <c r="AC118" s="1">
        <v>414</v>
      </c>
      <c r="AD118" s="1" t="s">
        <v>63</v>
      </c>
      <c r="AE118" s="1">
        <v>1</v>
      </c>
    </row>
    <row r="119" spans="1:31" x14ac:dyDescent="0.25">
      <c r="A119" s="1">
        <v>1</v>
      </c>
      <c r="B119" s="4">
        <v>38533</v>
      </c>
      <c r="C119" s="1" t="s">
        <v>57</v>
      </c>
      <c r="D119" s="1">
        <v>101</v>
      </c>
      <c r="E119" s="1">
        <v>101</v>
      </c>
      <c r="F119">
        <v>0.97029702970297038</v>
      </c>
      <c r="G119" s="1">
        <v>2.9702970297029702E-2</v>
      </c>
      <c r="H119" s="1">
        <v>9.1485148514851478</v>
      </c>
      <c r="I119" s="1">
        <v>0.5643564356435643</v>
      </c>
      <c r="J119" s="1">
        <v>0</v>
      </c>
      <c r="K119" s="1">
        <v>0</v>
      </c>
      <c r="L119" s="1">
        <v>0</v>
      </c>
      <c r="M119" s="1">
        <v>1</v>
      </c>
      <c r="N119" s="1">
        <v>0</v>
      </c>
      <c r="O119" s="1">
        <v>35</v>
      </c>
      <c r="P119" s="1">
        <v>8</v>
      </c>
      <c r="Q119" s="1">
        <v>6</v>
      </c>
      <c r="R119" s="1">
        <v>7</v>
      </c>
      <c r="S119" s="1">
        <v>91</v>
      </c>
      <c r="T119" s="1">
        <v>107</v>
      </c>
      <c r="U119" s="1">
        <v>145</v>
      </c>
      <c r="V119" s="1">
        <v>106</v>
      </c>
      <c r="W119" s="1">
        <v>127.75</v>
      </c>
      <c r="X119" s="1">
        <v>0.1098901098901099</v>
      </c>
      <c r="Y119" s="1">
        <v>-0.30344827586206902</v>
      </c>
      <c r="Z119" s="1">
        <v>101</v>
      </c>
      <c r="AA119" s="1">
        <v>122</v>
      </c>
      <c r="AB119" s="1">
        <v>29</v>
      </c>
      <c r="AC119" s="1">
        <v>414</v>
      </c>
      <c r="AD119" s="1" t="s">
        <v>63</v>
      </c>
      <c r="AE119" s="1">
        <v>2</v>
      </c>
    </row>
    <row r="120" spans="1:31" x14ac:dyDescent="0.25">
      <c r="A120" s="1">
        <v>1</v>
      </c>
      <c r="B120" s="4">
        <v>38625</v>
      </c>
      <c r="C120" s="1" t="s">
        <v>57</v>
      </c>
      <c r="D120" s="1">
        <v>122</v>
      </c>
      <c r="E120" s="1">
        <v>122</v>
      </c>
      <c r="F120">
        <v>0.98360655737704916</v>
      </c>
      <c r="G120" s="1">
        <v>1.63934426229508E-2</v>
      </c>
      <c r="H120" s="1">
        <v>9.2377049180327884</v>
      </c>
      <c r="I120" s="1">
        <v>0.59836065573770492</v>
      </c>
      <c r="J120" s="1">
        <v>0</v>
      </c>
      <c r="K120" s="1">
        <v>0</v>
      </c>
      <c r="L120" s="1">
        <v>1</v>
      </c>
      <c r="M120" s="1">
        <v>2</v>
      </c>
      <c r="N120" s="1">
        <v>0</v>
      </c>
      <c r="O120" s="1">
        <v>49</v>
      </c>
      <c r="P120" s="1">
        <v>3</v>
      </c>
      <c r="Q120" s="1">
        <v>6</v>
      </c>
      <c r="R120" s="1">
        <v>12</v>
      </c>
      <c r="S120" s="1">
        <v>101</v>
      </c>
      <c r="T120" s="1">
        <v>91</v>
      </c>
      <c r="U120" s="1">
        <v>125</v>
      </c>
      <c r="V120" s="1">
        <v>105.25</v>
      </c>
      <c r="W120" s="1">
        <v>119.125</v>
      </c>
      <c r="X120" s="1">
        <v>0.2079207920792078</v>
      </c>
      <c r="Y120" s="1">
        <v>-2.4E-2</v>
      </c>
      <c r="Z120" s="1">
        <v>122</v>
      </c>
      <c r="AA120" s="1">
        <v>100</v>
      </c>
      <c r="AB120" s="1">
        <v>29</v>
      </c>
      <c r="AC120" s="1">
        <v>414</v>
      </c>
      <c r="AD120" s="1" t="s">
        <v>63</v>
      </c>
      <c r="AE120" s="1">
        <v>3</v>
      </c>
    </row>
    <row r="121" spans="1:31" x14ac:dyDescent="0.25">
      <c r="A121" s="1">
        <v>1</v>
      </c>
      <c r="B121" s="4">
        <v>38717</v>
      </c>
      <c r="C121" s="1" t="s">
        <v>57</v>
      </c>
      <c r="D121" s="1">
        <v>100</v>
      </c>
      <c r="E121" s="1">
        <v>100</v>
      </c>
      <c r="F121">
        <v>0.97</v>
      </c>
      <c r="G121" s="1">
        <v>0.03</v>
      </c>
      <c r="H121" s="1">
        <v>8.5</v>
      </c>
      <c r="I121" s="1">
        <v>0.61</v>
      </c>
      <c r="J121" s="1">
        <v>0</v>
      </c>
      <c r="K121" s="1">
        <v>0</v>
      </c>
      <c r="L121" s="1">
        <v>1</v>
      </c>
      <c r="M121" s="1">
        <v>1</v>
      </c>
      <c r="N121" s="1">
        <v>0</v>
      </c>
      <c r="O121" s="1">
        <v>40</v>
      </c>
      <c r="P121" s="1">
        <v>7</v>
      </c>
      <c r="Q121" s="1">
        <v>3</v>
      </c>
      <c r="R121" s="1">
        <v>9</v>
      </c>
      <c r="S121" s="1">
        <v>122</v>
      </c>
      <c r="T121" s="1">
        <v>101</v>
      </c>
      <c r="U121" s="1">
        <v>107</v>
      </c>
      <c r="V121" s="1">
        <v>103.5</v>
      </c>
      <c r="W121" s="1">
        <v>115.875</v>
      </c>
      <c r="X121" s="1">
        <v>-0.18032786885245899</v>
      </c>
      <c r="Y121" s="1">
        <v>-6.5420560747663503E-2</v>
      </c>
      <c r="Z121" s="1">
        <v>100</v>
      </c>
      <c r="AA121" s="1">
        <v>101</v>
      </c>
      <c r="AB121" s="1">
        <v>29</v>
      </c>
      <c r="AC121" s="1">
        <v>414</v>
      </c>
      <c r="AD121" s="1" t="s">
        <v>63</v>
      </c>
      <c r="AE121" s="1">
        <v>4</v>
      </c>
    </row>
    <row r="122" spans="1:31" x14ac:dyDescent="0.25">
      <c r="A122" s="1">
        <v>1</v>
      </c>
      <c r="B122" s="4">
        <v>38807</v>
      </c>
      <c r="C122" s="1" t="s">
        <v>57</v>
      </c>
      <c r="D122" s="1">
        <v>101</v>
      </c>
      <c r="E122" s="1">
        <v>101</v>
      </c>
      <c r="F122">
        <v>0.92079207920792083</v>
      </c>
      <c r="G122" s="1">
        <v>7.9207920792079195E-2</v>
      </c>
      <c r="H122" s="1">
        <v>8.3564356435643568</v>
      </c>
      <c r="I122" s="1">
        <v>0.57425742574257421</v>
      </c>
      <c r="J122" s="1">
        <v>0</v>
      </c>
      <c r="K122" s="1">
        <v>0</v>
      </c>
      <c r="L122" s="1">
        <v>2</v>
      </c>
      <c r="M122" s="1">
        <v>3</v>
      </c>
      <c r="N122" s="1">
        <v>0</v>
      </c>
      <c r="O122" s="1">
        <v>45</v>
      </c>
      <c r="P122" s="1">
        <v>1</v>
      </c>
      <c r="Q122" s="1">
        <v>4</v>
      </c>
      <c r="R122" s="1">
        <v>3</v>
      </c>
      <c r="S122" s="1">
        <v>100</v>
      </c>
      <c r="T122" s="1">
        <v>122</v>
      </c>
      <c r="U122" s="1">
        <v>91</v>
      </c>
      <c r="V122" s="1">
        <v>106</v>
      </c>
      <c r="W122" s="1">
        <v>111.5</v>
      </c>
      <c r="X122" s="1">
        <v>0.01</v>
      </c>
      <c r="Y122" s="1">
        <v>0.1098901098901099</v>
      </c>
      <c r="Z122" s="1">
        <v>101</v>
      </c>
      <c r="AA122" s="1">
        <v>160</v>
      </c>
      <c r="AB122" s="1">
        <v>30</v>
      </c>
      <c r="AC122" s="1">
        <v>468</v>
      </c>
      <c r="AD122" s="1" t="s">
        <v>64</v>
      </c>
      <c r="AE122" s="1">
        <v>1</v>
      </c>
    </row>
    <row r="123" spans="1:31" x14ac:dyDescent="0.25">
      <c r="A123" s="1">
        <v>1</v>
      </c>
      <c r="B123" s="4">
        <v>38898</v>
      </c>
      <c r="C123" s="1" t="s">
        <v>57</v>
      </c>
      <c r="D123" s="1">
        <v>160</v>
      </c>
      <c r="E123" s="1">
        <v>160</v>
      </c>
      <c r="F123">
        <v>0.99375000000000002</v>
      </c>
      <c r="G123" s="1">
        <v>6.2500000000000003E-3</v>
      </c>
      <c r="H123" s="1">
        <v>9.2687500000000007</v>
      </c>
      <c r="I123" s="1">
        <v>0.49375000000000002</v>
      </c>
      <c r="J123" s="1">
        <v>0</v>
      </c>
      <c r="K123" s="1">
        <v>0</v>
      </c>
      <c r="L123" s="1">
        <v>0</v>
      </c>
      <c r="M123" s="1">
        <v>2</v>
      </c>
      <c r="N123" s="1">
        <v>0</v>
      </c>
      <c r="O123" s="1">
        <v>56</v>
      </c>
      <c r="P123" s="1">
        <v>4</v>
      </c>
      <c r="Q123" s="1">
        <v>8</v>
      </c>
      <c r="R123" s="1">
        <v>9</v>
      </c>
      <c r="S123" s="1">
        <v>101</v>
      </c>
      <c r="T123" s="1">
        <v>100</v>
      </c>
      <c r="U123" s="1">
        <v>101</v>
      </c>
      <c r="V123" s="1">
        <v>120.75</v>
      </c>
      <c r="W123" s="1">
        <v>113.375</v>
      </c>
      <c r="X123" s="1">
        <v>0.58415841584158423</v>
      </c>
      <c r="Y123" s="1">
        <v>0.58415841584158423</v>
      </c>
      <c r="Z123" s="1">
        <v>160</v>
      </c>
      <c r="AA123" s="1">
        <v>111</v>
      </c>
      <c r="AB123" s="1">
        <v>30</v>
      </c>
      <c r="AC123" s="1">
        <v>468</v>
      </c>
      <c r="AD123" s="1" t="s">
        <v>64</v>
      </c>
      <c r="AE123" s="1">
        <v>2</v>
      </c>
    </row>
    <row r="124" spans="1:31" x14ac:dyDescent="0.25">
      <c r="A124" s="1">
        <v>1</v>
      </c>
      <c r="B124" s="4">
        <v>38990</v>
      </c>
      <c r="C124" s="1" t="s">
        <v>57</v>
      </c>
      <c r="D124" s="1">
        <v>111</v>
      </c>
      <c r="E124" s="1">
        <v>111</v>
      </c>
      <c r="F124">
        <v>0.97297297297297303</v>
      </c>
      <c r="G124" s="1">
        <v>2.7027027027027001E-2</v>
      </c>
      <c r="H124" s="1">
        <v>8.2882882882882889</v>
      </c>
      <c r="I124" s="1">
        <v>0.6216216216216216</v>
      </c>
      <c r="J124" s="1">
        <v>0</v>
      </c>
      <c r="K124" s="1">
        <v>1</v>
      </c>
      <c r="L124" s="1">
        <v>0</v>
      </c>
      <c r="M124" s="1">
        <v>3</v>
      </c>
      <c r="N124" s="1">
        <v>0</v>
      </c>
      <c r="O124" s="1">
        <v>44</v>
      </c>
      <c r="P124" s="1">
        <v>6</v>
      </c>
      <c r="Q124" s="1">
        <v>5</v>
      </c>
      <c r="R124" s="1">
        <v>10</v>
      </c>
      <c r="S124" s="1">
        <v>160</v>
      </c>
      <c r="T124" s="1">
        <v>101</v>
      </c>
      <c r="U124" s="1">
        <v>122</v>
      </c>
      <c r="V124" s="1">
        <v>118</v>
      </c>
      <c r="W124" s="1">
        <v>111.625</v>
      </c>
      <c r="X124" s="1">
        <v>-0.30625000000000002</v>
      </c>
      <c r="Y124" s="1">
        <v>-9.0163934426229497E-2</v>
      </c>
      <c r="Z124" s="1">
        <v>111</v>
      </c>
      <c r="AA124" s="1">
        <v>96</v>
      </c>
      <c r="AB124" s="1">
        <v>30</v>
      </c>
      <c r="AC124" s="1">
        <v>468</v>
      </c>
      <c r="AD124" s="1" t="s">
        <v>64</v>
      </c>
      <c r="AE124" s="1">
        <v>3</v>
      </c>
    </row>
    <row r="125" spans="1:31" x14ac:dyDescent="0.25">
      <c r="A125" s="1">
        <v>1</v>
      </c>
      <c r="B125" s="4">
        <v>39082</v>
      </c>
      <c r="C125" s="1" t="s">
        <v>57</v>
      </c>
      <c r="D125" s="1">
        <v>96</v>
      </c>
      <c r="E125" s="1">
        <v>96</v>
      </c>
      <c r="F125">
        <v>0.98958333333333337</v>
      </c>
      <c r="G125" s="1">
        <v>1.04166666666666E-2</v>
      </c>
      <c r="H125" s="1">
        <v>8.7291666666666661</v>
      </c>
      <c r="I125" s="1">
        <v>0.58333333333333337</v>
      </c>
      <c r="J125" s="1">
        <v>0</v>
      </c>
      <c r="K125" s="1">
        <v>0</v>
      </c>
      <c r="L125" s="1">
        <v>1</v>
      </c>
      <c r="M125" s="1">
        <v>1</v>
      </c>
      <c r="N125" s="1">
        <v>0</v>
      </c>
      <c r="O125" s="1">
        <v>33</v>
      </c>
      <c r="P125" s="1">
        <v>8</v>
      </c>
      <c r="Q125" s="1">
        <v>4</v>
      </c>
      <c r="R125" s="1">
        <v>9</v>
      </c>
      <c r="S125" s="1">
        <v>111</v>
      </c>
      <c r="T125" s="1">
        <v>160</v>
      </c>
      <c r="U125" s="1">
        <v>100</v>
      </c>
      <c r="V125" s="1">
        <v>117</v>
      </c>
      <c r="W125" s="1">
        <v>110.25</v>
      </c>
      <c r="X125" s="1">
        <v>-0.13513513513513509</v>
      </c>
      <c r="Y125" s="1">
        <v>-0.04</v>
      </c>
      <c r="Z125" s="1">
        <v>96</v>
      </c>
      <c r="AA125" s="1">
        <v>103</v>
      </c>
      <c r="AB125" s="1">
        <v>30</v>
      </c>
      <c r="AC125" s="1">
        <v>468</v>
      </c>
      <c r="AD125" s="1" t="s">
        <v>64</v>
      </c>
      <c r="AE125" s="1">
        <v>4</v>
      </c>
    </row>
    <row r="126" spans="1:31" x14ac:dyDescent="0.25">
      <c r="A126" s="1">
        <v>1</v>
      </c>
      <c r="B126" s="4">
        <v>39172</v>
      </c>
      <c r="C126" s="1" t="s">
        <v>57</v>
      </c>
      <c r="D126" s="1">
        <v>103</v>
      </c>
      <c r="E126" s="1">
        <v>103</v>
      </c>
      <c r="F126">
        <v>0.98058252427184478</v>
      </c>
      <c r="G126" s="1">
        <v>1.94174757281553E-2</v>
      </c>
      <c r="H126" s="1">
        <v>8.5631067961165055</v>
      </c>
      <c r="I126" s="1">
        <v>0.59223300970873782</v>
      </c>
      <c r="J126" s="1">
        <v>0</v>
      </c>
      <c r="K126" s="1">
        <v>0</v>
      </c>
      <c r="L126" s="1">
        <v>1</v>
      </c>
      <c r="M126" s="1">
        <v>3</v>
      </c>
      <c r="N126" s="1">
        <v>1</v>
      </c>
      <c r="O126" s="1">
        <v>38</v>
      </c>
      <c r="P126" s="1">
        <v>5</v>
      </c>
      <c r="Q126" s="1">
        <v>3</v>
      </c>
      <c r="R126" s="1">
        <v>10</v>
      </c>
      <c r="S126" s="1">
        <v>96</v>
      </c>
      <c r="T126" s="1">
        <v>111</v>
      </c>
      <c r="U126" s="1">
        <v>101</v>
      </c>
      <c r="V126" s="1">
        <v>117.5</v>
      </c>
      <c r="W126" s="1">
        <v>111.75</v>
      </c>
      <c r="X126" s="1">
        <v>7.2916666666666699E-2</v>
      </c>
      <c r="Y126" s="1">
        <v>1.9801980198019799E-2</v>
      </c>
      <c r="Z126" s="1">
        <v>103</v>
      </c>
      <c r="AA126" s="1">
        <v>98</v>
      </c>
      <c r="AB126" s="1">
        <v>31</v>
      </c>
      <c r="AC126" s="1">
        <v>384</v>
      </c>
      <c r="AD126" s="1" t="s">
        <v>65</v>
      </c>
      <c r="AE126" s="1">
        <v>1</v>
      </c>
    </row>
    <row r="127" spans="1:31" x14ac:dyDescent="0.25">
      <c r="A127" s="1">
        <v>1</v>
      </c>
      <c r="B127" s="4">
        <v>39263</v>
      </c>
      <c r="C127" s="1" t="s">
        <v>57</v>
      </c>
      <c r="D127" s="1">
        <v>98</v>
      </c>
      <c r="E127" s="1">
        <v>98</v>
      </c>
      <c r="F127">
        <v>0.9591836734693876</v>
      </c>
      <c r="G127" s="1">
        <v>4.08163265306122E-2</v>
      </c>
      <c r="H127" s="1">
        <v>8.204081632653061</v>
      </c>
      <c r="I127" s="1">
        <v>0.44897959183673469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29</v>
      </c>
      <c r="P127" s="1">
        <v>6</v>
      </c>
      <c r="Q127" s="1">
        <v>2</v>
      </c>
      <c r="R127" s="1">
        <v>7</v>
      </c>
      <c r="S127" s="1">
        <v>103</v>
      </c>
      <c r="T127" s="1">
        <v>96</v>
      </c>
      <c r="U127" s="1">
        <v>160</v>
      </c>
      <c r="V127" s="1">
        <v>102</v>
      </c>
      <c r="W127" s="1">
        <v>111.375</v>
      </c>
      <c r="X127" s="1">
        <v>-4.85436893203883E-2</v>
      </c>
      <c r="Y127" s="1">
        <v>-0.3874999999999999</v>
      </c>
      <c r="Z127" s="1">
        <v>98</v>
      </c>
      <c r="AA127" s="1">
        <v>91</v>
      </c>
      <c r="AB127" s="1">
        <v>31</v>
      </c>
      <c r="AC127" s="1">
        <v>384</v>
      </c>
      <c r="AD127" s="1" t="s">
        <v>65</v>
      </c>
      <c r="AE127" s="1">
        <v>2</v>
      </c>
    </row>
    <row r="128" spans="1:31" x14ac:dyDescent="0.25">
      <c r="A128" s="1">
        <v>1</v>
      </c>
      <c r="B128" s="4">
        <v>39355</v>
      </c>
      <c r="C128" s="1" t="s">
        <v>57</v>
      </c>
      <c r="D128" s="1">
        <v>91</v>
      </c>
      <c r="E128" s="1">
        <v>91</v>
      </c>
      <c r="F128">
        <v>0.97802197802197799</v>
      </c>
      <c r="G128" s="1">
        <v>2.19780219780219E-2</v>
      </c>
      <c r="H128" s="1">
        <v>8.9670329670329672</v>
      </c>
      <c r="I128" s="1">
        <v>0.49450549450549453</v>
      </c>
      <c r="J128" s="1">
        <v>0</v>
      </c>
      <c r="K128" s="1">
        <v>0</v>
      </c>
      <c r="L128" s="1">
        <v>2</v>
      </c>
      <c r="M128" s="1">
        <v>2</v>
      </c>
      <c r="N128" s="1">
        <v>0</v>
      </c>
      <c r="O128" s="1">
        <v>22</v>
      </c>
      <c r="P128" s="1">
        <v>8</v>
      </c>
      <c r="Q128" s="1">
        <v>5</v>
      </c>
      <c r="R128" s="1">
        <v>6</v>
      </c>
      <c r="S128" s="1">
        <v>98</v>
      </c>
      <c r="T128" s="1">
        <v>103</v>
      </c>
      <c r="U128" s="1">
        <v>111</v>
      </c>
      <c r="V128" s="1">
        <v>97</v>
      </c>
      <c r="W128" s="1">
        <v>107.5</v>
      </c>
      <c r="X128" s="1">
        <v>-7.1428571428571397E-2</v>
      </c>
      <c r="Y128" s="1">
        <v>-0.1801801801801802</v>
      </c>
      <c r="Z128" s="1">
        <v>91</v>
      </c>
      <c r="AA128" s="1">
        <v>92</v>
      </c>
      <c r="AB128" s="1">
        <v>31</v>
      </c>
      <c r="AC128" s="1">
        <v>384</v>
      </c>
      <c r="AD128" s="1" t="s">
        <v>65</v>
      </c>
      <c r="AE128" s="1">
        <v>3</v>
      </c>
    </row>
    <row r="129" spans="1:31" x14ac:dyDescent="0.25">
      <c r="A129" s="1">
        <v>1</v>
      </c>
      <c r="B129" s="4">
        <v>39447</v>
      </c>
      <c r="C129" s="1" t="s">
        <v>57</v>
      </c>
      <c r="D129" s="1">
        <v>92</v>
      </c>
      <c r="E129" s="1">
        <v>92</v>
      </c>
      <c r="F129">
        <v>0.91304347826086962</v>
      </c>
      <c r="G129" s="1">
        <v>8.6956521739130405E-2</v>
      </c>
      <c r="H129" s="1">
        <v>8.4673913043478262</v>
      </c>
      <c r="I129" s="1">
        <v>0.53260869565217395</v>
      </c>
      <c r="J129" s="1">
        <v>0</v>
      </c>
      <c r="K129" s="1">
        <v>0</v>
      </c>
      <c r="L129" s="1">
        <v>1</v>
      </c>
      <c r="M129" s="1">
        <v>2</v>
      </c>
      <c r="N129" s="1">
        <v>0</v>
      </c>
      <c r="O129" s="1">
        <v>29</v>
      </c>
      <c r="P129" s="1">
        <v>7</v>
      </c>
      <c r="Q129" s="1">
        <v>2</v>
      </c>
      <c r="R129" s="1">
        <v>8</v>
      </c>
      <c r="S129" s="1">
        <v>91</v>
      </c>
      <c r="T129" s="1">
        <v>98</v>
      </c>
      <c r="U129" s="1">
        <v>96</v>
      </c>
      <c r="V129" s="1">
        <v>96</v>
      </c>
      <c r="W129" s="1">
        <v>106.5</v>
      </c>
      <c r="X129" s="1">
        <v>1.09890109890109E-2</v>
      </c>
      <c r="Y129" s="1">
        <v>-4.1666666666666602E-2</v>
      </c>
      <c r="Z129" s="1">
        <v>92</v>
      </c>
      <c r="AA129" s="1">
        <v>92</v>
      </c>
      <c r="AB129" s="1">
        <v>31</v>
      </c>
      <c r="AC129" s="1">
        <v>384</v>
      </c>
      <c r="AD129" s="1" t="s">
        <v>65</v>
      </c>
      <c r="AE129" s="1">
        <v>4</v>
      </c>
    </row>
    <row r="130" spans="1:31" x14ac:dyDescent="0.25">
      <c r="A130" s="1">
        <v>1</v>
      </c>
      <c r="B130" s="4">
        <v>39538</v>
      </c>
      <c r="C130" s="1" t="s">
        <v>57</v>
      </c>
      <c r="D130" s="1">
        <v>92</v>
      </c>
      <c r="E130" s="1">
        <v>92</v>
      </c>
      <c r="F130">
        <v>0.96739130434782605</v>
      </c>
      <c r="G130" s="1">
        <v>2.1739130434782601E-2</v>
      </c>
      <c r="H130" s="1">
        <v>8.054347826086957</v>
      </c>
      <c r="I130" s="1">
        <v>0.55434782608695654</v>
      </c>
      <c r="J130" s="1">
        <v>0</v>
      </c>
      <c r="K130" s="1">
        <v>0</v>
      </c>
      <c r="L130" s="1">
        <v>1</v>
      </c>
      <c r="M130" s="1">
        <v>1</v>
      </c>
      <c r="N130" s="1">
        <v>0</v>
      </c>
      <c r="O130" s="1">
        <v>34</v>
      </c>
      <c r="P130" s="1">
        <v>4</v>
      </c>
      <c r="Q130" s="1">
        <v>9</v>
      </c>
      <c r="R130" s="1">
        <v>2</v>
      </c>
      <c r="S130" s="1">
        <v>92</v>
      </c>
      <c r="T130" s="1">
        <v>91</v>
      </c>
      <c r="U130" s="1">
        <v>103</v>
      </c>
      <c r="V130" s="1">
        <v>93.25</v>
      </c>
      <c r="W130" s="1">
        <v>105.375</v>
      </c>
      <c r="X130" s="1">
        <v>0</v>
      </c>
      <c r="Y130" s="1">
        <v>-0.10679611650485429</v>
      </c>
      <c r="Z130" s="1">
        <v>92</v>
      </c>
      <c r="AA130" s="1">
        <v>109</v>
      </c>
      <c r="AB130" s="1">
        <v>32</v>
      </c>
      <c r="AC130" s="1">
        <v>411</v>
      </c>
      <c r="AD130" s="1" t="s">
        <v>66</v>
      </c>
      <c r="AE130" s="1">
        <v>1</v>
      </c>
    </row>
    <row r="131" spans="1:31" x14ac:dyDescent="0.25">
      <c r="A131" s="1">
        <v>1</v>
      </c>
      <c r="B131" s="4">
        <v>39629</v>
      </c>
      <c r="C131" s="1" t="s">
        <v>57</v>
      </c>
      <c r="D131" s="1">
        <v>109</v>
      </c>
      <c r="E131" s="1">
        <v>109</v>
      </c>
      <c r="F131">
        <v>0.93577981651376163</v>
      </c>
      <c r="G131" s="1">
        <v>5.5045871559633003E-2</v>
      </c>
      <c r="H131" s="1">
        <v>8.1284403669724767</v>
      </c>
      <c r="I131" s="1">
        <v>0.43119266055045868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26</v>
      </c>
      <c r="P131" s="1">
        <v>7</v>
      </c>
      <c r="Q131" s="1">
        <v>3</v>
      </c>
      <c r="R131" s="1">
        <v>11</v>
      </c>
      <c r="S131" s="1">
        <v>92</v>
      </c>
      <c r="T131" s="1">
        <v>92</v>
      </c>
      <c r="U131" s="1">
        <v>98</v>
      </c>
      <c r="V131" s="1">
        <v>96</v>
      </c>
      <c r="W131" s="1">
        <v>99</v>
      </c>
      <c r="X131" s="1">
        <v>0.18478260869565211</v>
      </c>
      <c r="Y131" s="1">
        <v>0.1122448979591836</v>
      </c>
      <c r="Z131" s="1">
        <v>109</v>
      </c>
      <c r="AA131" s="1">
        <v>90</v>
      </c>
      <c r="AB131" s="1">
        <v>32</v>
      </c>
      <c r="AC131" s="1">
        <v>411</v>
      </c>
      <c r="AD131" s="1" t="s">
        <v>66</v>
      </c>
      <c r="AE131" s="1">
        <v>2</v>
      </c>
    </row>
    <row r="132" spans="1:31" x14ac:dyDescent="0.25">
      <c r="A132" s="1">
        <v>1</v>
      </c>
      <c r="B132" s="4">
        <v>39721</v>
      </c>
      <c r="C132" s="1" t="s">
        <v>57</v>
      </c>
      <c r="D132" s="1">
        <v>90</v>
      </c>
      <c r="E132" s="1">
        <v>90</v>
      </c>
      <c r="F132">
        <v>0.97777777777777763</v>
      </c>
      <c r="G132" s="1">
        <v>2.2222222222222199E-2</v>
      </c>
      <c r="H132" s="1">
        <v>8.0888888888888886</v>
      </c>
      <c r="I132" s="1">
        <v>0.4777777777777778</v>
      </c>
      <c r="J132" s="1">
        <v>0</v>
      </c>
      <c r="K132" s="1">
        <v>1</v>
      </c>
      <c r="L132" s="1">
        <v>1</v>
      </c>
      <c r="M132" s="1">
        <v>1</v>
      </c>
      <c r="N132" s="1">
        <v>0</v>
      </c>
      <c r="O132" s="1">
        <v>25</v>
      </c>
      <c r="P132" s="1">
        <v>5</v>
      </c>
      <c r="Q132" s="1">
        <v>6</v>
      </c>
      <c r="R132" s="1">
        <v>4</v>
      </c>
      <c r="S132" s="1">
        <v>109</v>
      </c>
      <c r="T132" s="1">
        <v>92</v>
      </c>
      <c r="U132" s="1">
        <v>91</v>
      </c>
      <c r="V132" s="1">
        <v>95.75</v>
      </c>
      <c r="W132" s="1">
        <v>96.375</v>
      </c>
      <c r="X132" s="1">
        <v>-0.17431192660550451</v>
      </c>
      <c r="Y132" s="1">
        <v>-1.09890109890109E-2</v>
      </c>
      <c r="Z132" s="1">
        <v>90</v>
      </c>
      <c r="AA132" s="1">
        <v>120</v>
      </c>
      <c r="AB132" s="1">
        <v>32</v>
      </c>
      <c r="AC132" s="1">
        <v>411</v>
      </c>
      <c r="AD132" s="1" t="s">
        <v>66</v>
      </c>
      <c r="AE132" s="1">
        <v>3</v>
      </c>
    </row>
    <row r="133" spans="1:31" x14ac:dyDescent="0.25">
      <c r="A133" s="1">
        <v>1</v>
      </c>
      <c r="B133" s="4">
        <v>39813</v>
      </c>
      <c r="C133" s="1" t="s">
        <v>57</v>
      </c>
      <c r="D133" s="1">
        <v>120</v>
      </c>
      <c r="E133" s="1">
        <v>120</v>
      </c>
      <c r="F133">
        <v>0.98333333333333317</v>
      </c>
      <c r="G133" s="1">
        <v>1.6666666666666601E-2</v>
      </c>
      <c r="H133" s="1">
        <v>7.6916666666666664</v>
      </c>
      <c r="I133" s="1">
        <v>0.55000000000000004</v>
      </c>
      <c r="J133" s="1">
        <v>0</v>
      </c>
      <c r="K133" s="1">
        <v>1</v>
      </c>
      <c r="L133" s="1">
        <v>0</v>
      </c>
      <c r="M133" s="1">
        <v>0</v>
      </c>
      <c r="N133" s="1">
        <v>2</v>
      </c>
      <c r="O133" s="1">
        <v>40</v>
      </c>
      <c r="P133" s="1">
        <v>5</v>
      </c>
      <c r="Q133" s="1">
        <v>9</v>
      </c>
      <c r="R133" s="1">
        <v>9</v>
      </c>
      <c r="S133" s="1">
        <v>90</v>
      </c>
      <c r="T133" s="1">
        <v>109</v>
      </c>
      <c r="U133" s="1">
        <v>92</v>
      </c>
      <c r="V133" s="1">
        <v>102.75</v>
      </c>
      <c r="W133" s="1">
        <v>99.375</v>
      </c>
      <c r="X133" s="1">
        <v>0.3333333333333332</v>
      </c>
      <c r="Y133" s="1">
        <v>0.30434782608695649</v>
      </c>
      <c r="Z133" s="1">
        <v>120</v>
      </c>
      <c r="AA133" s="1">
        <v>92</v>
      </c>
      <c r="AB133" s="1">
        <v>32</v>
      </c>
      <c r="AC133" s="1">
        <v>411</v>
      </c>
      <c r="AD133" s="1" t="s">
        <v>66</v>
      </c>
      <c r="AE133" s="1">
        <v>4</v>
      </c>
    </row>
    <row r="134" spans="1:31" x14ac:dyDescent="0.25">
      <c r="A134" s="1">
        <v>1</v>
      </c>
      <c r="B134" s="4">
        <v>39903</v>
      </c>
      <c r="C134" s="1" t="s">
        <v>57</v>
      </c>
      <c r="D134" s="1">
        <v>92</v>
      </c>
      <c r="E134" s="1">
        <v>92</v>
      </c>
      <c r="F134">
        <v>0.95652173913043481</v>
      </c>
      <c r="G134" s="1">
        <v>4.3478260869565202E-2</v>
      </c>
      <c r="H134" s="1">
        <v>7.8043478260869561</v>
      </c>
      <c r="I134" s="1">
        <v>0.4456521739130434</v>
      </c>
      <c r="J134" s="1">
        <v>0</v>
      </c>
      <c r="K134" s="1">
        <v>1</v>
      </c>
      <c r="L134" s="1">
        <v>1</v>
      </c>
      <c r="M134" s="1">
        <v>1</v>
      </c>
      <c r="N134" s="1">
        <v>0</v>
      </c>
      <c r="O134" s="1">
        <v>28</v>
      </c>
      <c r="P134" s="1">
        <v>1</v>
      </c>
      <c r="Q134" s="1">
        <v>4</v>
      </c>
      <c r="R134" s="1">
        <v>5</v>
      </c>
      <c r="S134" s="1">
        <v>120</v>
      </c>
      <c r="T134" s="1">
        <v>90</v>
      </c>
      <c r="U134" s="1">
        <v>92</v>
      </c>
      <c r="V134" s="1">
        <v>102.75</v>
      </c>
      <c r="W134" s="1">
        <v>98</v>
      </c>
      <c r="X134" s="1">
        <v>-0.2333333333333332</v>
      </c>
      <c r="Y134" s="1">
        <v>0</v>
      </c>
      <c r="Z134" s="1">
        <v>92</v>
      </c>
      <c r="AA134" s="1">
        <v>117</v>
      </c>
      <c r="AB134" s="1">
        <v>33</v>
      </c>
      <c r="AC134" s="1">
        <v>485</v>
      </c>
      <c r="AD134" s="1" t="s">
        <v>67</v>
      </c>
      <c r="AE134" s="1">
        <v>1</v>
      </c>
    </row>
    <row r="135" spans="1:31" x14ac:dyDescent="0.25">
      <c r="A135" s="1">
        <v>1</v>
      </c>
      <c r="B135" s="4">
        <v>39994</v>
      </c>
      <c r="C135" s="1" t="s">
        <v>57</v>
      </c>
      <c r="D135" s="1">
        <v>117</v>
      </c>
      <c r="E135" s="1">
        <v>117</v>
      </c>
      <c r="F135">
        <v>0.94871794871794879</v>
      </c>
      <c r="G135" s="1">
        <v>5.1282051282051197E-2</v>
      </c>
      <c r="H135" s="1">
        <v>8.2564102564102573</v>
      </c>
      <c r="I135" s="1">
        <v>0.50427350427350426</v>
      </c>
      <c r="J135" s="1">
        <v>0</v>
      </c>
      <c r="K135" s="1">
        <v>0</v>
      </c>
      <c r="L135" s="1">
        <v>3</v>
      </c>
      <c r="M135" s="1">
        <v>2</v>
      </c>
      <c r="N135" s="1">
        <v>1</v>
      </c>
      <c r="O135" s="1">
        <v>37</v>
      </c>
      <c r="P135" s="1">
        <v>4</v>
      </c>
      <c r="Q135" s="1">
        <v>6</v>
      </c>
      <c r="R135" s="1">
        <v>6</v>
      </c>
      <c r="S135" s="1">
        <v>92</v>
      </c>
      <c r="T135" s="1">
        <v>120</v>
      </c>
      <c r="U135" s="1">
        <v>109</v>
      </c>
      <c r="V135" s="1">
        <v>104.75</v>
      </c>
      <c r="W135" s="1">
        <v>100.375</v>
      </c>
      <c r="X135" s="1">
        <v>0.27173913043478271</v>
      </c>
      <c r="Y135" s="1">
        <v>7.3394495412843999E-2</v>
      </c>
      <c r="Z135" s="1">
        <v>117</v>
      </c>
      <c r="AA135" s="1">
        <v>134</v>
      </c>
      <c r="AB135" s="1">
        <v>33</v>
      </c>
      <c r="AC135" s="1">
        <v>485</v>
      </c>
      <c r="AD135" s="1" t="s">
        <v>67</v>
      </c>
      <c r="AE135" s="1">
        <v>2</v>
      </c>
    </row>
    <row r="136" spans="1:31" x14ac:dyDescent="0.25">
      <c r="A136" s="1">
        <v>1</v>
      </c>
      <c r="B136" s="4">
        <v>40086</v>
      </c>
      <c r="C136" s="1" t="s">
        <v>57</v>
      </c>
      <c r="D136" s="1">
        <v>134</v>
      </c>
      <c r="E136" s="1">
        <v>134</v>
      </c>
      <c r="F136">
        <v>0.94029850746268662</v>
      </c>
      <c r="G136" s="1">
        <v>5.2238805970149203E-2</v>
      </c>
      <c r="H136" s="1">
        <v>8.0223880597014929</v>
      </c>
      <c r="I136" s="1">
        <v>0.42537313432835822</v>
      </c>
      <c r="J136" s="1">
        <v>0</v>
      </c>
      <c r="K136" s="1">
        <v>1</v>
      </c>
      <c r="L136" s="1">
        <v>2</v>
      </c>
      <c r="M136" s="1">
        <v>0</v>
      </c>
      <c r="N136" s="1">
        <v>1</v>
      </c>
      <c r="O136" s="1">
        <v>30</v>
      </c>
      <c r="P136" s="1">
        <v>8</v>
      </c>
      <c r="Q136" s="1">
        <v>6</v>
      </c>
      <c r="R136" s="1">
        <v>9</v>
      </c>
      <c r="S136" s="1">
        <v>117</v>
      </c>
      <c r="T136" s="1">
        <v>92</v>
      </c>
      <c r="U136" s="1">
        <v>90</v>
      </c>
      <c r="V136" s="1">
        <v>115.75</v>
      </c>
      <c r="W136" s="1">
        <v>105.75</v>
      </c>
      <c r="X136" s="1">
        <v>0.1452991452991452</v>
      </c>
      <c r="Y136" s="1">
        <v>0.48888888888888887</v>
      </c>
      <c r="Z136" s="1">
        <v>134</v>
      </c>
      <c r="AA136" s="1">
        <v>142</v>
      </c>
      <c r="AB136" s="1">
        <v>33</v>
      </c>
      <c r="AC136" s="1">
        <v>485</v>
      </c>
      <c r="AD136" s="1" t="s">
        <v>67</v>
      </c>
      <c r="AE136" s="1">
        <v>3</v>
      </c>
    </row>
    <row r="137" spans="1:31" x14ac:dyDescent="0.25">
      <c r="A137" s="1">
        <v>1</v>
      </c>
      <c r="B137" s="4">
        <v>40178</v>
      </c>
      <c r="C137" s="1" t="s">
        <v>57</v>
      </c>
      <c r="D137" s="1">
        <v>142</v>
      </c>
      <c r="E137" s="1">
        <v>142</v>
      </c>
      <c r="F137">
        <v>0.92253521126760563</v>
      </c>
      <c r="G137" s="1">
        <v>6.3380281690140802E-2</v>
      </c>
      <c r="H137" s="1">
        <v>7.8661971830985919</v>
      </c>
      <c r="I137" s="1">
        <v>0.40845070422535212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39</v>
      </c>
      <c r="P137" s="1">
        <v>3</v>
      </c>
      <c r="Q137" s="1">
        <v>7</v>
      </c>
      <c r="R137" s="1">
        <v>9</v>
      </c>
      <c r="S137" s="1">
        <v>134</v>
      </c>
      <c r="T137" s="1">
        <v>117</v>
      </c>
      <c r="U137" s="1">
        <v>120</v>
      </c>
      <c r="V137" s="1">
        <v>121.25</v>
      </c>
      <c r="W137" s="1">
        <v>112</v>
      </c>
      <c r="X137" s="1">
        <v>5.97014925373133E-2</v>
      </c>
      <c r="Y137" s="1">
        <v>0.18333333333333329</v>
      </c>
      <c r="Z137" s="1">
        <v>142</v>
      </c>
      <c r="AA137" s="1">
        <v>164</v>
      </c>
      <c r="AB137" s="1">
        <v>33</v>
      </c>
      <c r="AC137" s="1">
        <v>485</v>
      </c>
      <c r="AD137" s="1" t="s">
        <v>67</v>
      </c>
      <c r="AE137" s="1">
        <v>4</v>
      </c>
    </row>
    <row r="138" spans="1:31" x14ac:dyDescent="0.25">
      <c r="A138" s="1">
        <v>1</v>
      </c>
      <c r="B138" s="4">
        <v>40268</v>
      </c>
      <c r="C138" s="1" t="s">
        <v>68</v>
      </c>
      <c r="D138" s="1">
        <v>164</v>
      </c>
      <c r="E138" s="1">
        <v>164</v>
      </c>
      <c r="F138">
        <v>0.96341463414634143</v>
      </c>
      <c r="G138" s="1">
        <v>3.04878048780487E-2</v>
      </c>
      <c r="H138" s="1">
        <v>7.6280487804878048</v>
      </c>
      <c r="I138" s="1">
        <v>0.4451219512195122</v>
      </c>
      <c r="J138" s="1">
        <v>0</v>
      </c>
      <c r="K138" s="1">
        <v>0</v>
      </c>
      <c r="L138" s="1">
        <v>0</v>
      </c>
      <c r="M138" s="1">
        <v>1</v>
      </c>
      <c r="N138" s="1">
        <v>0</v>
      </c>
      <c r="O138" s="1">
        <v>43</v>
      </c>
      <c r="P138" s="1">
        <v>3</v>
      </c>
      <c r="Q138" s="1">
        <v>15</v>
      </c>
      <c r="R138" s="1">
        <v>11</v>
      </c>
      <c r="S138" s="1">
        <v>142</v>
      </c>
      <c r="T138" s="1">
        <v>134</v>
      </c>
      <c r="U138" s="1">
        <v>92</v>
      </c>
      <c r="V138" s="1">
        <v>139.25</v>
      </c>
      <c r="W138" s="1">
        <v>121</v>
      </c>
      <c r="X138" s="1">
        <v>0.15492957746478869</v>
      </c>
      <c r="Y138" s="1">
        <v>0.78260869565217384</v>
      </c>
      <c r="Z138" s="1">
        <v>164</v>
      </c>
      <c r="AA138" s="1">
        <v>230</v>
      </c>
      <c r="AB138" s="1">
        <v>34</v>
      </c>
      <c r="AC138" s="1">
        <v>794</v>
      </c>
      <c r="AD138" s="1" t="s">
        <v>69</v>
      </c>
      <c r="AE138" s="1">
        <v>1</v>
      </c>
    </row>
    <row r="139" spans="1:31" x14ac:dyDescent="0.25">
      <c r="A139" s="1">
        <v>1</v>
      </c>
      <c r="B139" s="4">
        <v>40359</v>
      </c>
      <c r="C139" s="1" t="s">
        <v>68</v>
      </c>
      <c r="D139" s="1">
        <v>230</v>
      </c>
      <c r="E139" s="1">
        <v>230</v>
      </c>
      <c r="F139">
        <v>0.95217391304347843</v>
      </c>
      <c r="G139" s="1">
        <v>4.3478260869565202E-2</v>
      </c>
      <c r="H139" s="1">
        <v>7.9391304347826086</v>
      </c>
      <c r="I139" s="1">
        <v>0.50869565217391299</v>
      </c>
      <c r="J139" s="1">
        <v>0</v>
      </c>
      <c r="K139" s="1">
        <v>0</v>
      </c>
      <c r="L139" s="1">
        <v>3</v>
      </c>
      <c r="M139" s="1">
        <v>2</v>
      </c>
      <c r="N139" s="1">
        <v>1</v>
      </c>
      <c r="O139" s="1">
        <v>67</v>
      </c>
      <c r="P139" s="1">
        <v>13</v>
      </c>
      <c r="Q139" s="1">
        <v>9</v>
      </c>
      <c r="R139" s="1">
        <v>22</v>
      </c>
      <c r="S139" s="1">
        <v>164</v>
      </c>
      <c r="T139" s="1">
        <v>142</v>
      </c>
      <c r="U139" s="1">
        <v>117</v>
      </c>
      <c r="V139" s="1">
        <v>167.5</v>
      </c>
      <c r="W139" s="1">
        <v>136.125</v>
      </c>
      <c r="X139" s="1">
        <v>0.40243902439024382</v>
      </c>
      <c r="Y139" s="1">
        <v>0.9658119658119656</v>
      </c>
      <c r="Z139" s="1">
        <v>230</v>
      </c>
      <c r="AA139" s="1">
        <v>203</v>
      </c>
      <c r="AB139" s="1">
        <v>34</v>
      </c>
      <c r="AC139" s="1">
        <v>794</v>
      </c>
      <c r="AD139" s="1" t="s">
        <v>69</v>
      </c>
      <c r="AE139" s="1">
        <v>2</v>
      </c>
    </row>
    <row r="140" spans="1:31" x14ac:dyDescent="0.25">
      <c r="A140" s="1">
        <v>1</v>
      </c>
      <c r="B140" s="4">
        <v>40451</v>
      </c>
      <c r="C140" s="1" t="s">
        <v>68</v>
      </c>
      <c r="D140" s="1">
        <v>203</v>
      </c>
      <c r="E140" s="1">
        <v>203</v>
      </c>
      <c r="F140">
        <v>0.98029556650246319</v>
      </c>
      <c r="G140" s="1">
        <v>1.9704433497536901E-2</v>
      </c>
      <c r="H140" s="1">
        <v>8.6108374384236459</v>
      </c>
      <c r="I140" s="1">
        <v>0.51231527093596063</v>
      </c>
      <c r="J140" s="1">
        <v>0</v>
      </c>
      <c r="K140" s="1">
        <v>1</v>
      </c>
      <c r="L140" s="1">
        <v>0</v>
      </c>
      <c r="M140" s="1">
        <v>1</v>
      </c>
      <c r="N140" s="1">
        <v>0</v>
      </c>
      <c r="O140" s="1">
        <v>66</v>
      </c>
      <c r="P140" s="1">
        <v>15</v>
      </c>
      <c r="Q140" s="1">
        <v>8</v>
      </c>
      <c r="R140" s="1">
        <v>13</v>
      </c>
      <c r="S140" s="1">
        <v>230</v>
      </c>
      <c r="T140" s="1">
        <v>164</v>
      </c>
      <c r="U140" s="1">
        <v>134</v>
      </c>
      <c r="V140" s="1">
        <v>184.75</v>
      </c>
      <c r="W140" s="1">
        <v>150.25</v>
      </c>
      <c r="X140" s="1">
        <v>-0.11739130434782601</v>
      </c>
      <c r="Y140" s="1">
        <v>0.5149253731343284</v>
      </c>
      <c r="Z140" s="1">
        <v>203</v>
      </c>
      <c r="AA140" s="1">
        <v>197</v>
      </c>
      <c r="AB140" s="1">
        <v>34</v>
      </c>
      <c r="AC140" s="1">
        <v>794</v>
      </c>
      <c r="AD140" s="1" t="s">
        <v>69</v>
      </c>
      <c r="AE140" s="1">
        <v>3</v>
      </c>
    </row>
    <row r="141" spans="1:31" x14ac:dyDescent="0.25">
      <c r="A141" s="1">
        <v>1</v>
      </c>
      <c r="B141" s="4">
        <v>40543</v>
      </c>
      <c r="C141" s="1" t="s">
        <v>68</v>
      </c>
      <c r="D141" s="1">
        <v>197</v>
      </c>
      <c r="E141" s="1">
        <v>197</v>
      </c>
      <c r="F141">
        <v>0.93401015228426398</v>
      </c>
      <c r="G141" s="1">
        <v>6.0913705583756299E-2</v>
      </c>
      <c r="H141" s="1">
        <v>8.3553299492385786</v>
      </c>
      <c r="I141" s="1">
        <v>0.43147208121827407</v>
      </c>
      <c r="J141" s="1">
        <v>0</v>
      </c>
      <c r="K141" s="1">
        <v>0</v>
      </c>
      <c r="L141" s="1">
        <v>1</v>
      </c>
      <c r="M141" s="1">
        <v>5</v>
      </c>
      <c r="N141" s="1">
        <v>1</v>
      </c>
      <c r="O141" s="1">
        <v>47</v>
      </c>
      <c r="P141" s="1">
        <v>9</v>
      </c>
      <c r="Q141" s="1">
        <v>9</v>
      </c>
      <c r="R141" s="1">
        <v>13</v>
      </c>
      <c r="S141" s="1">
        <v>203</v>
      </c>
      <c r="T141" s="1">
        <v>230</v>
      </c>
      <c r="U141" s="1">
        <v>142</v>
      </c>
      <c r="V141" s="1">
        <v>198.5</v>
      </c>
      <c r="W141" s="1">
        <v>159.875</v>
      </c>
      <c r="X141" s="1">
        <v>-2.9556650246305299E-2</v>
      </c>
      <c r="Y141" s="1">
        <v>0.3873239436619717</v>
      </c>
      <c r="Z141" s="1">
        <v>197</v>
      </c>
      <c r="AA141" s="1">
        <v>225</v>
      </c>
      <c r="AB141" s="1">
        <v>34</v>
      </c>
      <c r="AC141" s="1">
        <v>794</v>
      </c>
      <c r="AD141" s="1" t="s">
        <v>69</v>
      </c>
      <c r="AE141" s="1">
        <v>4</v>
      </c>
    </row>
    <row r="142" spans="1:31" x14ac:dyDescent="0.25">
      <c r="A142" s="1">
        <v>1</v>
      </c>
      <c r="B142" s="4">
        <v>40633</v>
      </c>
      <c r="C142" s="1" t="s">
        <v>68</v>
      </c>
      <c r="D142" s="1">
        <v>225</v>
      </c>
      <c r="E142" s="1">
        <v>225</v>
      </c>
      <c r="F142">
        <v>0.96</v>
      </c>
      <c r="G142" s="1">
        <v>0.04</v>
      </c>
      <c r="H142" s="1">
        <v>7.92</v>
      </c>
      <c r="I142" s="1">
        <v>0.48888888888888887</v>
      </c>
      <c r="J142" s="1">
        <v>0</v>
      </c>
      <c r="K142" s="1">
        <v>0</v>
      </c>
      <c r="L142" s="1">
        <v>3</v>
      </c>
      <c r="M142" s="1">
        <v>3</v>
      </c>
      <c r="N142" s="1">
        <v>2</v>
      </c>
      <c r="O142" s="1">
        <v>63</v>
      </c>
      <c r="P142" s="1">
        <v>15</v>
      </c>
      <c r="Q142" s="1">
        <v>6</v>
      </c>
      <c r="R142" s="1">
        <v>18</v>
      </c>
      <c r="S142" s="1">
        <v>197</v>
      </c>
      <c r="T142" s="1">
        <v>203</v>
      </c>
      <c r="U142" s="1">
        <v>164</v>
      </c>
      <c r="V142" s="1">
        <v>213.75</v>
      </c>
      <c r="W142" s="1">
        <v>176.5</v>
      </c>
      <c r="X142" s="1">
        <v>0.1421319796954314</v>
      </c>
      <c r="Y142" s="1">
        <v>0.37195121951219517</v>
      </c>
      <c r="Z142" s="1">
        <v>225</v>
      </c>
      <c r="AA142" s="1">
        <v>249</v>
      </c>
      <c r="AB142" s="1">
        <v>35</v>
      </c>
      <c r="AC142" s="1">
        <v>969</v>
      </c>
      <c r="AD142" s="1" t="s">
        <v>70</v>
      </c>
      <c r="AE142" s="1">
        <v>1</v>
      </c>
    </row>
    <row r="143" spans="1:31" x14ac:dyDescent="0.25">
      <c r="A143" s="1">
        <v>1</v>
      </c>
      <c r="B143" s="4">
        <v>40724</v>
      </c>
      <c r="C143" s="1" t="s">
        <v>68</v>
      </c>
      <c r="D143" s="1">
        <v>249</v>
      </c>
      <c r="E143" s="1">
        <v>249</v>
      </c>
      <c r="F143">
        <v>0.9718875502008032</v>
      </c>
      <c r="G143" s="1">
        <v>2.81124497991967E-2</v>
      </c>
      <c r="H143" s="1">
        <v>8.4698795180722897</v>
      </c>
      <c r="I143" s="1">
        <v>0.4618473895582329</v>
      </c>
      <c r="J143" s="1">
        <v>0</v>
      </c>
      <c r="K143" s="1">
        <v>0</v>
      </c>
      <c r="L143" s="1">
        <v>2</v>
      </c>
      <c r="M143" s="1">
        <v>4</v>
      </c>
      <c r="N143" s="1">
        <v>1</v>
      </c>
      <c r="O143" s="1">
        <v>70</v>
      </c>
      <c r="P143" s="1">
        <v>11</v>
      </c>
      <c r="Q143" s="1">
        <v>11</v>
      </c>
      <c r="R143" s="1">
        <v>16</v>
      </c>
      <c r="S143" s="1">
        <v>225</v>
      </c>
      <c r="T143" s="1">
        <v>197</v>
      </c>
      <c r="U143" s="1">
        <v>230</v>
      </c>
      <c r="V143" s="1">
        <v>218.5</v>
      </c>
      <c r="W143" s="1">
        <v>193</v>
      </c>
      <c r="X143" s="1">
        <v>0.1066666666666666</v>
      </c>
      <c r="Y143" s="1">
        <v>8.2608695652173797E-2</v>
      </c>
      <c r="Z143" s="1">
        <v>249</v>
      </c>
      <c r="AA143" s="1">
        <v>251</v>
      </c>
      <c r="AB143" s="1">
        <v>35</v>
      </c>
      <c r="AC143" s="1">
        <v>969</v>
      </c>
      <c r="AD143" s="1" t="s">
        <v>70</v>
      </c>
      <c r="AE143" s="1">
        <v>2</v>
      </c>
    </row>
    <row r="144" spans="1:31" x14ac:dyDescent="0.25">
      <c r="A144" s="1">
        <v>1</v>
      </c>
      <c r="B144" s="4">
        <v>40816</v>
      </c>
      <c r="C144" s="1" t="s">
        <v>68</v>
      </c>
      <c r="D144" s="1">
        <v>251</v>
      </c>
      <c r="E144" s="1">
        <v>251</v>
      </c>
      <c r="F144">
        <v>0.98007968127490042</v>
      </c>
      <c r="G144" s="1">
        <v>1.9920318725099601E-2</v>
      </c>
      <c r="H144" s="1">
        <v>8.3585657370517925</v>
      </c>
      <c r="I144" s="1">
        <v>0.45816733067729082</v>
      </c>
      <c r="J144" s="1">
        <v>0</v>
      </c>
      <c r="K144" s="1">
        <v>0</v>
      </c>
      <c r="L144" s="1">
        <v>1</v>
      </c>
      <c r="M144" s="1">
        <v>0</v>
      </c>
      <c r="N144" s="1">
        <v>1</v>
      </c>
      <c r="O144" s="1">
        <v>78</v>
      </c>
      <c r="P144" s="1">
        <v>10</v>
      </c>
      <c r="Q144" s="1">
        <v>9</v>
      </c>
      <c r="R144" s="1">
        <v>16</v>
      </c>
      <c r="S144" s="1">
        <v>249</v>
      </c>
      <c r="T144" s="1">
        <v>225</v>
      </c>
      <c r="U144" s="1">
        <v>203</v>
      </c>
      <c r="V144" s="1">
        <v>230.5</v>
      </c>
      <c r="W144" s="1">
        <v>207.625</v>
      </c>
      <c r="X144" s="1">
        <v>8.0321285140563005E-3</v>
      </c>
      <c r="Y144" s="1">
        <v>0.2364532019704432</v>
      </c>
      <c r="Z144" s="1">
        <v>251</v>
      </c>
      <c r="AA144" s="1">
        <v>244</v>
      </c>
      <c r="AB144" s="1">
        <v>35</v>
      </c>
      <c r="AC144" s="1">
        <v>969</v>
      </c>
      <c r="AD144" s="1" t="s">
        <v>70</v>
      </c>
      <c r="AE144" s="1">
        <v>3</v>
      </c>
    </row>
    <row r="145" spans="1:31" x14ac:dyDescent="0.25">
      <c r="A145" s="1">
        <v>1</v>
      </c>
      <c r="B145" s="4">
        <v>40908</v>
      </c>
      <c r="C145" s="1" t="s">
        <v>68</v>
      </c>
      <c r="D145" s="1">
        <v>244</v>
      </c>
      <c r="E145" s="1">
        <v>244</v>
      </c>
      <c r="F145">
        <v>0.97950819672131162</v>
      </c>
      <c r="G145" s="1">
        <v>2.0491803278688499E-2</v>
      </c>
      <c r="H145" s="1">
        <v>8.4467213114754092</v>
      </c>
      <c r="I145" s="1">
        <v>0.50819672131147542</v>
      </c>
      <c r="J145" s="1">
        <v>0</v>
      </c>
      <c r="K145" s="1">
        <v>0</v>
      </c>
      <c r="L145" s="1">
        <v>4</v>
      </c>
      <c r="M145" s="1">
        <v>2</v>
      </c>
      <c r="N145" s="1">
        <v>1</v>
      </c>
      <c r="O145" s="1">
        <v>76</v>
      </c>
      <c r="P145" s="1">
        <v>17</v>
      </c>
      <c r="Q145" s="1">
        <v>11</v>
      </c>
      <c r="R145" s="1">
        <v>13</v>
      </c>
      <c r="S145" s="1">
        <v>251</v>
      </c>
      <c r="T145" s="1">
        <v>249</v>
      </c>
      <c r="U145" s="1">
        <v>197</v>
      </c>
      <c r="V145" s="1">
        <v>242.25</v>
      </c>
      <c r="W145" s="1">
        <v>220.375</v>
      </c>
      <c r="X145" s="1">
        <v>-2.78884462151394E-2</v>
      </c>
      <c r="Y145" s="1">
        <v>0.2385786802030456</v>
      </c>
      <c r="Z145" s="1">
        <v>244</v>
      </c>
      <c r="AA145" s="1">
        <v>259</v>
      </c>
      <c r="AB145" s="1">
        <v>35</v>
      </c>
      <c r="AC145" s="1">
        <v>969</v>
      </c>
      <c r="AD145" s="1" t="s">
        <v>70</v>
      </c>
      <c r="AE145" s="1">
        <v>4</v>
      </c>
    </row>
    <row r="146" spans="1:31" x14ac:dyDescent="0.25">
      <c r="A146" s="1">
        <v>1</v>
      </c>
      <c r="B146" s="4">
        <v>40999</v>
      </c>
      <c r="C146" s="1" t="s">
        <v>68</v>
      </c>
      <c r="D146" s="1">
        <v>259</v>
      </c>
      <c r="E146" s="1">
        <v>259</v>
      </c>
      <c r="F146">
        <v>0.99613899613899604</v>
      </c>
      <c r="G146" s="1">
        <v>3.8610038610037999E-3</v>
      </c>
      <c r="H146" s="1">
        <v>8.4710424710424714</v>
      </c>
      <c r="I146" s="1">
        <v>0.47104247104247099</v>
      </c>
      <c r="J146" s="1">
        <v>0</v>
      </c>
      <c r="K146" s="1">
        <v>0</v>
      </c>
      <c r="L146" s="1">
        <v>3</v>
      </c>
      <c r="M146" s="1">
        <v>3</v>
      </c>
      <c r="N146" s="1">
        <v>2</v>
      </c>
      <c r="O146" s="1">
        <v>82</v>
      </c>
      <c r="P146" s="1">
        <v>11</v>
      </c>
      <c r="Q146" s="1">
        <v>9</v>
      </c>
      <c r="R146" s="1">
        <v>12</v>
      </c>
      <c r="S146" s="1">
        <v>244</v>
      </c>
      <c r="T146" s="1">
        <v>251</v>
      </c>
      <c r="U146" s="1">
        <v>225</v>
      </c>
      <c r="V146" s="1">
        <v>250.75</v>
      </c>
      <c r="W146" s="1">
        <v>232.25</v>
      </c>
      <c r="X146" s="1">
        <v>6.1475409836065399E-2</v>
      </c>
      <c r="Y146" s="1">
        <v>0.1511111111111112</v>
      </c>
      <c r="Z146" s="1">
        <v>259</v>
      </c>
      <c r="AA146" s="1">
        <v>304</v>
      </c>
      <c r="AB146" s="1">
        <v>36</v>
      </c>
      <c r="AC146" s="1">
        <v>1182</v>
      </c>
      <c r="AD146" s="1" t="s">
        <v>71</v>
      </c>
      <c r="AE146" s="1">
        <v>1</v>
      </c>
    </row>
    <row r="147" spans="1:31" x14ac:dyDescent="0.25">
      <c r="A147" s="1">
        <v>1</v>
      </c>
      <c r="B147" s="4">
        <v>41090</v>
      </c>
      <c r="C147" s="1" t="s">
        <v>68</v>
      </c>
      <c r="D147" s="1">
        <v>304</v>
      </c>
      <c r="E147" s="1">
        <v>304</v>
      </c>
      <c r="F147">
        <v>0.9967105263157896</v>
      </c>
      <c r="G147" s="1">
        <v>3.2894736842105001E-3</v>
      </c>
      <c r="H147" s="1">
        <v>9.0263157894736832</v>
      </c>
      <c r="I147" s="1">
        <v>0.50986842105263153</v>
      </c>
      <c r="J147" s="1">
        <v>0</v>
      </c>
      <c r="K147" s="1">
        <v>0</v>
      </c>
      <c r="L147" s="1">
        <v>5</v>
      </c>
      <c r="M147" s="1">
        <v>3</v>
      </c>
      <c r="N147" s="1">
        <v>0</v>
      </c>
      <c r="O147" s="1">
        <v>99</v>
      </c>
      <c r="P147" s="1">
        <v>17</v>
      </c>
      <c r="Q147" s="1">
        <v>4</v>
      </c>
      <c r="R147" s="1">
        <v>27</v>
      </c>
      <c r="S147" s="1">
        <v>259</v>
      </c>
      <c r="T147" s="1">
        <v>244</v>
      </c>
      <c r="U147" s="1">
        <v>249</v>
      </c>
      <c r="V147" s="1">
        <v>264.5</v>
      </c>
      <c r="W147" s="1">
        <v>241.5</v>
      </c>
      <c r="X147" s="1">
        <v>0.17374517374517379</v>
      </c>
      <c r="Y147" s="1">
        <v>0.22088353413654621</v>
      </c>
      <c r="Z147" s="1">
        <v>304</v>
      </c>
      <c r="AA147" s="1">
        <v>331</v>
      </c>
      <c r="AB147" s="1">
        <v>36</v>
      </c>
      <c r="AC147" s="1">
        <v>1182</v>
      </c>
      <c r="AD147" s="1" t="s">
        <v>71</v>
      </c>
      <c r="AE147" s="1">
        <v>2</v>
      </c>
    </row>
    <row r="148" spans="1:31" x14ac:dyDescent="0.25">
      <c r="A148" s="1">
        <v>1</v>
      </c>
      <c r="B148" s="4">
        <v>41182</v>
      </c>
      <c r="C148" s="1" t="s">
        <v>68</v>
      </c>
      <c r="D148" s="1">
        <v>331</v>
      </c>
      <c r="E148" s="1">
        <v>331</v>
      </c>
      <c r="F148">
        <v>0.99395770392749239</v>
      </c>
      <c r="G148" s="1">
        <v>6.0422960725075E-3</v>
      </c>
      <c r="H148" s="1">
        <v>8.9697885196374614</v>
      </c>
      <c r="I148" s="1">
        <v>0.5166163141993958</v>
      </c>
      <c r="J148" s="1">
        <v>0</v>
      </c>
      <c r="K148" s="1">
        <v>2</v>
      </c>
      <c r="L148" s="1">
        <v>7</v>
      </c>
      <c r="M148" s="1">
        <v>4</v>
      </c>
      <c r="N148" s="1">
        <v>0</v>
      </c>
      <c r="O148" s="1">
        <v>113</v>
      </c>
      <c r="P148" s="1">
        <v>9</v>
      </c>
      <c r="Q148" s="1">
        <v>15</v>
      </c>
      <c r="R148" s="1">
        <v>21</v>
      </c>
      <c r="S148" s="1">
        <v>304</v>
      </c>
      <c r="T148" s="1">
        <v>259</v>
      </c>
      <c r="U148" s="1">
        <v>251</v>
      </c>
      <c r="V148" s="1">
        <v>284.5</v>
      </c>
      <c r="W148" s="1">
        <v>257.5</v>
      </c>
      <c r="X148" s="1">
        <v>8.8815789473684195E-2</v>
      </c>
      <c r="Y148" s="1">
        <v>0.31872509960159351</v>
      </c>
      <c r="Z148" s="1">
        <v>331</v>
      </c>
      <c r="AA148" s="1">
        <v>288</v>
      </c>
      <c r="AB148" s="1">
        <v>36</v>
      </c>
      <c r="AC148" s="1">
        <v>1182</v>
      </c>
      <c r="AD148" s="1" t="s">
        <v>71</v>
      </c>
      <c r="AE148" s="1">
        <v>3</v>
      </c>
    </row>
    <row r="149" spans="1:31" x14ac:dyDescent="0.25">
      <c r="A149" s="1">
        <v>1</v>
      </c>
      <c r="B149" s="4">
        <v>41274</v>
      </c>
      <c r="C149" s="1" t="s">
        <v>68</v>
      </c>
      <c r="D149" s="1">
        <v>288</v>
      </c>
      <c r="E149" s="1">
        <v>288</v>
      </c>
      <c r="F149">
        <v>1</v>
      </c>
      <c r="G149" s="1">
        <v>0</v>
      </c>
      <c r="H149" s="1">
        <v>8.6006944444444446</v>
      </c>
      <c r="I149" s="1">
        <v>0.52777777777777779</v>
      </c>
      <c r="J149" s="1">
        <v>0</v>
      </c>
      <c r="K149" s="1">
        <v>0</v>
      </c>
      <c r="L149" s="1">
        <v>6</v>
      </c>
      <c r="M149" s="1">
        <v>1</v>
      </c>
      <c r="N149" s="1">
        <v>1</v>
      </c>
      <c r="O149" s="1">
        <v>103</v>
      </c>
      <c r="P149" s="1">
        <v>15</v>
      </c>
      <c r="Q149" s="1">
        <v>7</v>
      </c>
      <c r="R149" s="1">
        <v>19</v>
      </c>
      <c r="S149" s="1">
        <v>331</v>
      </c>
      <c r="T149" s="1">
        <v>304</v>
      </c>
      <c r="U149" s="1">
        <v>244</v>
      </c>
      <c r="V149" s="1">
        <v>295.5</v>
      </c>
      <c r="W149" s="1">
        <v>268.875</v>
      </c>
      <c r="X149" s="1">
        <v>-0.12990936555891239</v>
      </c>
      <c r="Y149" s="1">
        <v>0.18032786885245899</v>
      </c>
      <c r="Z149" s="1">
        <v>288</v>
      </c>
      <c r="AA149" s="1">
        <v>273</v>
      </c>
      <c r="AB149" s="1">
        <v>36</v>
      </c>
      <c r="AC149" s="1">
        <v>1182</v>
      </c>
      <c r="AD149" s="1" t="s">
        <v>71</v>
      </c>
      <c r="AE149" s="1">
        <v>4</v>
      </c>
    </row>
    <row r="150" spans="1:31" x14ac:dyDescent="0.25">
      <c r="A150" s="1">
        <v>1</v>
      </c>
      <c r="B150" s="4">
        <v>41364</v>
      </c>
      <c r="C150" s="1" t="s">
        <v>68</v>
      </c>
      <c r="D150" s="1">
        <v>273</v>
      </c>
      <c r="E150" s="1">
        <v>273</v>
      </c>
      <c r="F150">
        <v>0.99633699633699635</v>
      </c>
      <c r="G150" s="1">
        <v>0</v>
      </c>
      <c r="H150" s="1">
        <v>8.6190476190476186</v>
      </c>
      <c r="I150" s="1">
        <v>0.53479853479853479</v>
      </c>
      <c r="J150" s="1">
        <v>0</v>
      </c>
      <c r="K150" s="1">
        <v>1</v>
      </c>
      <c r="L150" s="1">
        <v>4</v>
      </c>
      <c r="M150" s="1">
        <v>2</v>
      </c>
      <c r="N150" s="1">
        <v>1</v>
      </c>
      <c r="O150" s="1">
        <v>103</v>
      </c>
      <c r="P150" s="1">
        <v>11</v>
      </c>
      <c r="Q150" s="1">
        <v>9</v>
      </c>
      <c r="R150" s="1">
        <v>15</v>
      </c>
      <c r="S150" s="1">
        <v>288</v>
      </c>
      <c r="T150" s="1">
        <v>331</v>
      </c>
      <c r="U150" s="1">
        <v>259</v>
      </c>
      <c r="V150" s="1">
        <v>299</v>
      </c>
      <c r="W150" s="1">
        <v>274.875</v>
      </c>
      <c r="X150" s="1">
        <v>-5.2083333333333301E-2</v>
      </c>
      <c r="Y150" s="1">
        <v>5.4054054054053897E-2</v>
      </c>
      <c r="Z150" s="1">
        <v>273</v>
      </c>
      <c r="AA150" s="1">
        <v>302</v>
      </c>
      <c r="AB150" s="1">
        <v>37</v>
      </c>
      <c r="AC150" s="1">
        <v>1326</v>
      </c>
      <c r="AD150" s="1" t="s">
        <v>72</v>
      </c>
      <c r="AE150" s="1">
        <v>1</v>
      </c>
    </row>
    <row r="151" spans="1:31" x14ac:dyDescent="0.25">
      <c r="A151" s="1">
        <v>1</v>
      </c>
      <c r="B151" s="4">
        <v>41455</v>
      </c>
      <c r="C151" s="1" t="s">
        <v>68</v>
      </c>
      <c r="D151" s="1">
        <v>302</v>
      </c>
      <c r="E151" s="1">
        <v>302</v>
      </c>
      <c r="F151">
        <v>0.9966887417218544</v>
      </c>
      <c r="G151" s="1">
        <v>0</v>
      </c>
      <c r="H151" s="1">
        <v>8.8841059602649004</v>
      </c>
      <c r="I151" s="1">
        <v>0.57615894039735094</v>
      </c>
      <c r="J151" s="1">
        <v>0</v>
      </c>
      <c r="K151" s="1">
        <v>1</v>
      </c>
      <c r="L151" s="1">
        <v>4</v>
      </c>
      <c r="M151" s="1">
        <v>4</v>
      </c>
      <c r="N151" s="1">
        <v>0</v>
      </c>
      <c r="O151" s="1">
        <v>126</v>
      </c>
      <c r="P151" s="1">
        <v>13</v>
      </c>
      <c r="Q151" s="1">
        <v>15</v>
      </c>
      <c r="R151" s="1">
        <v>11</v>
      </c>
      <c r="S151" s="1">
        <v>273</v>
      </c>
      <c r="T151" s="1">
        <v>288</v>
      </c>
      <c r="U151" s="1">
        <v>304</v>
      </c>
      <c r="V151" s="1">
        <v>298.5</v>
      </c>
      <c r="W151" s="1">
        <v>281.5</v>
      </c>
      <c r="X151" s="1">
        <v>0.10622710622710629</v>
      </c>
      <c r="Y151" s="1">
        <v>-6.5789473684210002E-3</v>
      </c>
      <c r="Z151" s="1">
        <v>302</v>
      </c>
      <c r="AA151" s="1">
        <v>347</v>
      </c>
      <c r="AB151" s="1">
        <v>37</v>
      </c>
      <c r="AC151" s="1">
        <v>1326</v>
      </c>
      <c r="AD151" s="1" t="s">
        <v>72</v>
      </c>
      <c r="AE151" s="1">
        <v>2</v>
      </c>
    </row>
    <row r="152" spans="1:31" x14ac:dyDescent="0.25">
      <c r="A152" s="1">
        <v>1</v>
      </c>
      <c r="B152" s="4">
        <v>41547</v>
      </c>
      <c r="C152" s="1" t="s">
        <v>68</v>
      </c>
      <c r="D152" s="1">
        <v>347</v>
      </c>
      <c r="E152" s="1">
        <v>347</v>
      </c>
      <c r="F152">
        <v>1</v>
      </c>
      <c r="G152" s="1">
        <v>0</v>
      </c>
      <c r="H152" s="1">
        <v>8.7896253602305467</v>
      </c>
      <c r="I152" s="1">
        <v>0.61671469740634011</v>
      </c>
      <c r="J152" s="1">
        <v>0</v>
      </c>
      <c r="K152" s="1">
        <v>0</v>
      </c>
      <c r="L152" s="1">
        <v>6</v>
      </c>
      <c r="M152" s="1">
        <v>4</v>
      </c>
      <c r="N152" s="1">
        <v>1</v>
      </c>
      <c r="O152" s="1">
        <v>155</v>
      </c>
      <c r="P152" s="1">
        <v>18</v>
      </c>
      <c r="Q152" s="1">
        <v>10</v>
      </c>
      <c r="R152" s="1">
        <v>20</v>
      </c>
      <c r="S152" s="1">
        <v>302</v>
      </c>
      <c r="T152" s="1">
        <v>273</v>
      </c>
      <c r="U152" s="1">
        <v>331</v>
      </c>
      <c r="V152" s="1">
        <v>302.5</v>
      </c>
      <c r="W152" s="1">
        <v>293.5</v>
      </c>
      <c r="X152" s="1">
        <v>0.14900662251655619</v>
      </c>
      <c r="Y152" s="1">
        <v>4.8338368580060402E-2</v>
      </c>
      <c r="Z152" s="1">
        <v>347</v>
      </c>
      <c r="AA152" s="1">
        <v>404</v>
      </c>
      <c r="AB152" s="1">
        <v>37</v>
      </c>
      <c r="AC152" s="1">
        <v>1326</v>
      </c>
      <c r="AD152" s="1" t="s">
        <v>72</v>
      </c>
      <c r="AE152" s="1">
        <v>3</v>
      </c>
    </row>
    <row r="153" spans="1:31" x14ac:dyDescent="0.25">
      <c r="A153" s="1">
        <v>1</v>
      </c>
      <c r="B153" s="4">
        <v>41639</v>
      </c>
      <c r="C153" s="1" t="s">
        <v>68</v>
      </c>
      <c r="D153" s="1">
        <v>404</v>
      </c>
      <c r="E153" s="1">
        <v>404</v>
      </c>
      <c r="F153">
        <v>1</v>
      </c>
      <c r="G153" s="1">
        <v>0</v>
      </c>
      <c r="H153" s="1">
        <v>8.6089108910891081</v>
      </c>
      <c r="I153" s="1">
        <v>0.5643564356435643</v>
      </c>
      <c r="J153" s="1">
        <v>0</v>
      </c>
      <c r="K153" s="1">
        <v>2</v>
      </c>
      <c r="L153" s="1">
        <v>8</v>
      </c>
      <c r="M153" s="1">
        <v>5</v>
      </c>
      <c r="N153" s="1">
        <v>0</v>
      </c>
      <c r="O153" s="1">
        <v>153</v>
      </c>
      <c r="P153" s="1">
        <v>29</v>
      </c>
      <c r="Q153" s="1">
        <v>12</v>
      </c>
      <c r="R153" s="1">
        <v>19</v>
      </c>
      <c r="S153" s="1">
        <v>347</v>
      </c>
      <c r="T153" s="1">
        <v>302</v>
      </c>
      <c r="U153" s="1">
        <v>288</v>
      </c>
      <c r="V153" s="1">
        <v>331.5</v>
      </c>
      <c r="W153" s="1">
        <v>313.5</v>
      </c>
      <c r="X153" s="1">
        <v>0.16426512968299711</v>
      </c>
      <c r="Y153" s="1">
        <v>0.40277777777777768</v>
      </c>
      <c r="Z153" s="1">
        <v>404</v>
      </c>
      <c r="AA153" s="1">
        <v>327</v>
      </c>
      <c r="AB153" s="1">
        <v>37</v>
      </c>
      <c r="AC153" s="1">
        <v>1326</v>
      </c>
      <c r="AD153" s="1" t="s">
        <v>72</v>
      </c>
      <c r="AE153" s="1">
        <v>4</v>
      </c>
    </row>
    <row r="154" spans="1:31" x14ac:dyDescent="0.25">
      <c r="A154" s="1">
        <v>1</v>
      </c>
      <c r="B154" s="4">
        <v>41729</v>
      </c>
      <c r="C154" s="1" t="s">
        <v>68</v>
      </c>
      <c r="D154" s="1">
        <v>327</v>
      </c>
      <c r="E154" s="1">
        <v>327</v>
      </c>
      <c r="F154">
        <v>1</v>
      </c>
      <c r="G154" s="1">
        <v>0</v>
      </c>
      <c r="H154" s="1">
        <v>8.4006116207951074</v>
      </c>
      <c r="I154" s="1">
        <v>0.59327217125382259</v>
      </c>
      <c r="J154" s="1">
        <v>0</v>
      </c>
      <c r="K154" s="1">
        <v>2</v>
      </c>
      <c r="L154" s="1">
        <v>2</v>
      </c>
      <c r="M154" s="1">
        <v>5</v>
      </c>
      <c r="N154" s="1">
        <v>0</v>
      </c>
      <c r="O154" s="1">
        <v>137</v>
      </c>
      <c r="P154" s="1">
        <v>14</v>
      </c>
      <c r="Q154" s="1">
        <v>13</v>
      </c>
      <c r="R154" s="1">
        <v>21</v>
      </c>
      <c r="S154" s="1">
        <v>404</v>
      </c>
      <c r="T154" s="1">
        <v>347</v>
      </c>
      <c r="U154" s="1">
        <v>273</v>
      </c>
      <c r="V154" s="1">
        <v>345</v>
      </c>
      <c r="W154" s="1">
        <v>322</v>
      </c>
      <c r="X154" s="1">
        <v>-0.19059405940594051</v>
      </c>
      <c r="Y154" s="1">
        <v>0.19780219780219771</v>
      </c>
      <c r="Z154" s="1">
        <v>327</v>
      </c>
      <c r="AA154" s="1">
        <v>427</v>
      </c>
      <c r="AB154" s="1">
        <v>38</v>
      </c>
      <c r="AC154" s="1">
        <v>1697</v>
      </c>
      <c r="AD154" s="1" t="s">
        <v>73</v>
      </c>
      <c r="AE154" s="1">
        <v>1</v>
      </c>
    </row>
    <row r="155" spans="1:31" x14ac:dyDescent="0.25">
      <c r="A155" s="1">
        <v>1</v>
      </c>
      <c r="B155" s="4">
        <v>41820</v>
      </c>
      <c r="C155" s="1" t="s">
        <v>68</v>
      </c>
      <c r="D155" s="1">
        <v>427</v>
      </c>
      <c r="E155" s="1">
        <v>427</v>
      </c>
      <c r="F155">
        <v>1</v>
      </c>
      <c r="G155" s="1">
        <v>0</v>
      </c>
      <c r="H155" s="1">
        <v>8.9250585480093676</v>
      </c>
      <c r="I155" s="1">
        <v>0.58313817330210771</v>
      </c>
      <c r="J155" s="1">
        <v>0</v>
      </c>
      <c r="K155" s="1">
        <v>4</v>
      </c>
      <c r="L155" s="1">
        <v>9</v>
      </c>
      <c r="M155" s="1">
        <v>2</v>
      </c>
      <c r="N155" s="1">
        <v>0</v>
      </c>
      <c r="O155" s="1">
        <v>177</v>
      </c>
      <c r="P155" s="1">
        <v>17</v>
      </c>
      <c r="Q155" s="1">
        <v>8</v>
      </c>
      <c r="R155" s="1">
        <v>32</v>
      </c>
      <c r="S155" s="1">
        <v>327</v>
      </c>
      <c r="T155" s="1">
        <v>404</v>
      </c>
      <c r="U155" s="1">
        <v>302</v>
      </c>
      <c r="V155" s="1">
        <v>376.25</v>
      </c>
      <c r="W155" s="1">
        <v>337.375</v>
      </c>
      <c r="X155" s="1">
        <v>0.30581039755351691</v>
      </c>
      <c r="Y155" s="1">
        <v>0.41390728476821192</v>
      </c>
      <c r="Z155" s="1">
        <v>427</v>
      </c>
      <c r="AA155" s="1">
        <v>525</v>
      </c>
      <c r="AB155" s="1">
        <v>38</v>
      </c>
      <c r="AC155" s="1">
        <v>1697</v>
      </c>
      <c r="AD155" s="1" t="s">
        <v>73</v>
      </c>
      <c r="AE155" s="1">
        <v>2</v>
      </c>
    </row>
    <row r="156" spans="1:31" x14ac:dyDescent="0.25">
      <c r="A156" s="1">
        <v>1</v>
      </c>
      <c r="B156" s="4">
        <v>41912</v>
      </c>
      <c r="C156" s="1" t="s">
        <v>68</v>
      </c>
      <c r="D156" s="1">
        <v>525</v>
      </c>
      <c r="E156" s="1">
        <v>525</v>
      </c>
      <c r="F156">
        <v>1</v>
      </c>
      <c r="G156" s="1">
        <v>0</v>
      </c>
      <c r="H156" s="1">
        <v>8.9980952380952388</v>
      </c>
      <c r="I156" s="1">
        <v>0.5714285714285714</v>
      </c>
      <c r="J156" s="1">
        <v>0</v>
      </c>
      <c r="K156" s="1">
        <v>2</v>
      </c>
      <c r="L156" s="1">
        <v>11</v>
      </c>
      <c r="M156" s="1">
        <v>3</v>
      </c>
      <c r="N156" s="1">
        <v>0</v>
      </c>
      <c r="O156" s="1">
        <v>213</v>
      </c>
      <c r="P156" s="1">
        <v>33</v>
      </c>
      <c r="Q156" s="1">
        <v>13</v>
      </c>
      <c r="R156" s="1">
        <v>25</v>
      </c>
      <c r="S156" s="1">
        <v>427</v>
      </c>
      <c r="T156" s="1">
        <v>327</v>
      </c>
      <c r="U156" s="1">
        <v>347</v>
      </c>
      <c r="V156" s="1">
        <v>420.75</v>
      </c>
      <c r="W156" s="1">
        <v>361.625</v>
      </c>
      <c r="X156" s="1">
        <v>0.22950819672131151</v>
      </c>
      <c r="Y156" s="1">
        <v>0.51296829971181546</v>
      </c>
      <c r="Z156" s="1">
        <v>525</v>
      </c>
      <c r="AA156" s="1">
        <v>418</v>
      </c>
      <c r="AB156" s="1">
        <v>38</v>
      </c>
      <c r="AC156" s="1">
        <v>1697</v>
      </c>
      <c r="AD156" s="1" t="s">
        <v>73</v>
      </c>
      <c r="AE156" s="1">
        <v>3</v>
      </c>
    </row>
    <row r="157" spans="1:31" x14ac:dyDescent="0.25">
      <c r="A157" s="1">
        <v>1</v>
      </c>
      <c r="B157" s="4">
        <v>42004</v>
      </c>
      <c r="C157" s="1" t="s">
        <v>68</v>
      </c>
      <c r="D157" s="1">
        <v>418</v>
      </c>
      <c r="E157" s="1">
        <v>418</v>
      </c>
      <c r="F157">
        <v>1</v>
      </c>
      <c r="G157" s="1">
        <v>0</v>
      </c>
      <c r="H157" s="1">
        <v>8.5645933014354068</v>
      </c>
      <c r="I157" s="1">
        <v>0.62679425837320579</v>
      </c>
      <c r="J157" s="1">
        <v>1</v>
      </c>
      <c r="K157" s="1">
        <v>1</v>
      </c>
      <c r="L157" s="1">
        <v>5</v>
      </c>
      <c r="M157" s="1">
        <v>8</v>
      </c>
      <c r="N157" s="1">
        <v>0</v>
      </c>
      <c r="O157" s="1">
        <v>177</v>
      </c>
      <c r="P157" s="1">
        <v>20</v>
      </c>
      <c r="Q157" s="1">
        <v>16</v>
      </c>
      <c r="R157" s="1">
        <v>34</v>
      </c>
      <c r="S157" s="1">
        <v>525</v>
      </c>
      <c r="T157" s="1">
        <v>427</v>
      </c>
      <c r="U157" s="1">
        <v>404</v>
      </c>
      <c r="V157" s="1">
        <v>424.25</v>
      </c>
      <c r="W157" s="1">
        <v>377.875</v>
      </c>
      <c r="X157" s="1">
        <v>-0.20380952380952369</v>
      </c>
      <c r="Y157" s="1">
        <v>3.4653465346534601E-2</v>
      </c>
      <c r="Z157" s="1">
        <v>418</v>
      </c>
      <c r="AA157" s="1">
        <v>404</v>
      </c>
      <c r="AB157" s="1">
        <v>38</v>
      </c>
      <c r="AC157" s="1">
        <v>1697</v>
      </c>
      <c r="AD157" s="1" t="s">
        <v>73</v>
      </c>
      <c r="AE157" s="1">
        <v>4</v>
      </c>
    </row>
    <row r="158" spans="1:31" x14ac:dyDescent="0.25">
      <c r="A158" s="1">
        <v>1</v>
      </c>
      <c r="B158" s="4">
        <v>42094</v>
      </c>
      <c r="C158" s="1" t="s">
        <v>68</v>
      </c>
      <c r="D158" s="1">
        <v>404</v>
      </c>
      <c r="E158" s="1">
        <v>404</v>
      </c>
      <c r="F158">
        <v>0.99752475247524763</v>
      </c>
      <c r="G158" s="1">
        <v>0</v>
      </c>
      <c r="H158" s="1">
        <v>8.8044554455445549</v>
      </c>
      <c r="I158" s="1">
        <v>0.61881188118811881</v>
      </c>
      <c r="J158" s="1">
        <v>0</v>
      </c>
      <c r="K158" s="1">
        <v>1</v>
      </c>
      <c r="L158" s="1">
        <v>8</v>
      </c>
      <c r="M158" s="1">
        <v>7</v>
      </c>
      <c r="N158" s="1">
        <v>0</v>
      </c>
      <c r="O158" s="1">
        <v>180</v>
      </c>
      <c r="P158" s="1">
        <v>17</v>
      </c>
      <c r="Q158" s="1">
        <v>16</v>
      </c>
      <c r="R158" s="1">
        <v>21</v>
      </c>
      <c r="S158" s="1">
        <v>418</v>
      </c>
      <c r="T158" s="1">
        <v>525</v>
      </c>
      <c r="U158" s="1">
        <v>327</v>
      </c>
      <c r="V158" s="1">
        <v>443.5</v>
      </c>
      <c r="W158" s="1">
        <v>394.25</v>
      </c>
      <c r="X158" s="1">
        <v>-3.3492822966507102E-2</v>
      </c>
      <c r="Y158" s="1">
        <v>0.23547400611620789</v>
      </c>
      <c r="Z158" s="1">
        <v>404</v>
      </c>
      <c r="AA158" s="1">
        <v>345</v>
      </c>
      <c r="AB158" s="1">
        <v>39</v>
      </c>
      <c r="AC158" s="1">
        <v>1561</v>
      </c>
      <c r="AD158" s="1" t="s">
        <v>74</v>
      </c>
      <c r="AE158" s="1">
        <v>1</v>
      </c>
    </row>
    <row r="159" spans="1:31" x14ac:dyDescent="0.25">
      <c r="A159" s="1">
        <v>1</v>
      </c>
      <c r="B159" s="4">
        <v>42185</v>
      </c>
      <c r="C159" s="1" t="s">
        <v>68</v>
      </c>
      <c r="D159" s="1">
        <v>345</v>
      </c>
      <c r="E159" s="1">
        <v>345</v>
      </c>
      <c r="F159">
        <v>1</v>
      </c>
      <c r="G159" s="1">
        <v>0</v>
      </c>
      <c r="H159" s="1">
        <v>9.2289855072463762</v>
      </c>
      <c r="I159" s="1">
        <v>0.66956521739130437</v>
      </c>
      <c r="J159" s="1">
        <v>0</v>
      </c>
      <c r="K159" s="1">
        <v>1</v>
      </c>
      <c r="L159" s="1">
        <v>5</v>
      </c>
      <c r="M159" s="1">
        <v>2</v>
      </c>
      <c r="N159" s="1">
        <v>0</v>
      </c>
      <c r="O159" s="1">
        <v>172</v>
      </c>
      <c r="P159" s="1">
        <v>19</v>
      </c>
      <c r="Q159" s="1">
        <v>17</v>
      </c>
      <c r="R159" s="1">
        <v>15</v>
      </c>
      <c r="S159" s="1">
        <v>404</v>
      </c>
      <c r="T159" s="1">
        <v>418</v>
      </c>
      <c r="U159" s="1">
        <v>427</v>
      </c>
      <c r="V159" s="1">
        <v>423</v>
      </c>
      <c r="W159" s="1">
        <v>399.625</v>
      </c>
      <c r="X159" s="1">
        <v>-0.146039603960396</v>
      </c>
      <c r="Y159" s="1">
        <v>-0.19203747072599531</v>
      </c>
      <c r="Z159" s="1">
        <v>345</v>
      </c>
      <c r="AA159" s="1">
        <v>410</v>
      </c>
      <c r="AB159" s="1">
        <v>39</v>
      </c>
      <c r="AC159" s="1">
        <v>1561</v>
      </c>
      <c r="AD159" s="1" t="s">
        <v>74</v>
      </c>
      <c r="AE159" s="1">
        <v>2</v>
      </c>
    </row>
    <row r="160" spans="1:31" x14ac:dyDescent="0.25">
      <c r="A160" s="1">
        <v>1</v>
      </c>
      <c r="B160" s="4">
        <v>42277</v>
      </c>
      <c r="C160" s="1" t="s">
        <v>68</v>
      </c>
      <c r="D160" s="1">
        <v>410</v>
      </c>
      <c r="E160" s="1">
        <v>410</v>
      </c>
      <c r="F160">
        <v>0.99756097560975598</v>
      </c>
      <c r="G160" s="1">
        <v>0</v>
      </c>
      <c r="H160" s="1">
        <v>8.8902439024390247</v>
      </c>
      <c r="I160" s="1">
        <v>0.65609756097560978</v>
      </c>
      <c r="J160" s="1">
        <v>0</v>
      </c>
      <c r="K160" s="1">
        <v>1</v>
      </c>
      <c r="L160" s="1">
        <v>3</v>
      </c>
      <c r="M160" s="1">
        <v>2</v>
      </c>
      <c r="N160" s="1">
        <v>0</v>
      </c>
      <c r="O160" s="1">
        <v>193</v>
      </c>
      <c r="P160" s="1">
        <v>21</v>
      </c>
      <c r="Q160" s="1">
        <v>20</v>
      </c>
      <c r="R160" s="1">
        <v>29</v>
      </c>
      <c r="S160" s="1">
        <v>345</v>
      </c>
      <c r="T160" s="1">
        <v>404</v>
      </c>
      <c r="U160" s="1">
        <v>525</v>
      </c>
      <c r="V160" s="1">
        <v>394.25</v>
      </c>
      <c r="W160" s="1">
        <v>407.5</v>
      </c>
      <c r="X160" s="1">
        <v>0.1884057971014492</v>
      </c>
      <c r="Y160" s="1">
        <v>-0.21904761904761899</v>
      </c>
      <c r="Z160" s="1">
        <v>410</v>
      </c>
      <c r="AA160" s="1">
        <v>402</v>
      </c>
      <c r="AB160" s="1">
        <v>39</v>
      </c>
      <c r="AC160" s="1">
        <v>1561</v>
      </c>
      <c r="AD160" s="1" t="s">
        <v>74</v>
      </c>
      <c r="AE160" s="1">
        <v>3</v>
      </c>
    </row>
    <row r="161" spans="1:31" x14ac:dyDescent="0.25">
      <c r="A161" s="1">
        <v>1</v>
      </c>
      <c r="B161" s="4">
        <v>42369</v>
      </c>
      <c r="C161" s="1" t="s">
        <v>68</v>
      </c>
      <c r="D161" s="1">
        <v>402</v>
      </c>
      <c r="E161" s="1">
        <v>402</v>
      </c>
      <c r="F161">
        <v>1</v>
      </c>
      <c r="G161" s="1">
        <v>0</v>
      </c>
      <c r="H161" s="1">
        <v>8.9228855721393039</v>
      </c>
      <c r="I161" s="1">
        <v>0.63681592039800994</v>
      </c>
      <c r="J161" s="1">
        <v>0</v>
      </c>
      <c r="K161" s="1">
        <v>0</v>
      </c>
      <c r="L161" s="1">
        <v>8</v>
      </c>
      <c r="M161" s="1">
        <v>0</v>
      </c>
      <c r="N161" s="1">
        <v>2</v>
      </c>
      <c r="O161" s="1">
        <v>172</v>
      </c>
      <c r="P161" s="1">
        <v>29</v>
      </c>
      <c r="Q161" s="1">
        <v>13</v>
      </c>
      <c r="R161" s="1">
        <v>32</v>
      </c>
      <c r="S161" s="1">
        <v>410</v>
      </c>
      <c r="T161" s="1">
        <v>345</v>
      </c>
      <c r="U161" s="1">
        <v>418</v>
      </c>
      <c r="V161" s="1">
        <v>390.25</v>
      </c>
      <c r="W161" s="1">
        <v>407.25</v>
      </c>
      <c r="X161" s="1">
        <v>-1.9512195121951199E-2</v>
      </c>
      <c r="Y161" s="1">
        <v>-3.8277511961722403E-2</v>
      </c>
      <c r="Z161" s="1">
        <v>402</v>
      </c>
      <c r="AA161" s="1">
        <v>448</v>
      </c>
      <c r="AB161" s="1">
        <v>39</v>
      </c>
      <c r="AC161" s="1">
        <v>1561</v>
      </c>
      <c r="AD161" s="1" t="s">
        <v>74</v>
      </c>
      <c r="AE161" s="1">
        <v>4</v>
      </c>
    </row>
    <row r="162" spans="1:31" x14ac:dyDescent="0.25">
      <c r="A162" s="1">
        <v>1</v>
      </c>
      <c r="B162" s="4">
        <v>42460</v>
      </c>
      <c r="C162" s="1" t="s">
        <v>68</v>
      </c>
      <c r="D162" s="1">
        <v>448</v>
      </c>
      <c r="E162" s="1">
        <v>448</v>
      </c>
      <c r="F162">
        <v>1</v>
      </c>
      <c r="G162" s="1">
        <v>0</v>
      </c>
      <c r="H162" s="1">
        <v>8.8236607142857135</v>
      </c>
      <c r="I162" s="1">
        <v>0.6696428571428571</v>
      </c>
      <c r="J162" s="1">
        <v>0</v>
      </c>
      <c r="K162" s="1">
        <v>0</v>
      </c>
      <c r="L162" s="1">
        <v>10</v>
      </c>
      <c r="M162" s="1">
        <v>9</v>
      </c>
      <c r="N162" s="1">
        <v>0</v>
      </c>
      <c r="O162" s="1">
        <v>206</v>
      </c>
      <c r="P162" s="1">
        <v>24</v>
      </c>
      <c r="Q162" s="1">
        <v>22</v>
      </c>
      <c r="R162" s="1">
        <v>29</v>
      </c>
      <c r="S162" s="1">
        <v>402</v>
      </c>
      <c r="T162" s="1">
        <v>410</v>
      </c>
      <c r="U162" s="1">
        <v>404</v>
      </c>
      <c r="V162" s="1">
        <v>401.25</v>
      </c>
      <c r="W162" s="1">
        <v>422.375</v>
      </c>
      <c r="X162" s="1">
        <v>0.11442786069651741</v>
      </c>
      <c r="Y162" s="1">
        <v>0.10891089108910899</v>
      </c>
      <c r="Z162" s="1">
        <v>448</v>
      </c>
      <c r="AA162" s="1">
        <v>413</v>
      </c>
      <c r="AB162" s="1">
        <v>40</v>
      </c>
      <c r="AC162" s="1">
        <v>1705</v>
      </c>
      <c r="AD162" s="1" t="s">
        <v>75</v>
      </c>
      <c r="AE162" s="1">
        <v>1</v>
      </c>
    </row>
    <row r="163" spans="1:31" x14ac:dyDescent="0.25">
      <c r="A163" s="1">
        <v>1</v>
      </c>
      <c r="B163" s="4">
        <v>42551</v>
      </c>
      <c r="C163" s="1" t="s">
        <v>68</v>
      </c>
      <c r="D163" s="1">
        <v>413</v>
      </c>
      <c r="E163" s="1">
        <v>413</v>
      </c>
      <c r="F163">
        <v>0.99757869249394682</v>
      </c>
      <c r="G163" s="1">
        <v>2.4213075060531999E-3</v>
      </c>
      <c r="H163" s="1">
        <v>9.2469733656174338</v>
      </c>
      <c r="I163" s="1">
        <v>0.61016949152542377</v>
      </c>
      <c r="J163" s="1">
        <v>0</v>
      </c>
      <c r="K163" s="1">
        <v>0</v>
      </c>
      <c r="L163" s="1">
        <v>10</v>
      </c>
      <c r="M163" s="1">
        <v>6</v>
      </c>
      <c r="N163" s="1">
        <v>0</v>
      </c>
      <c r="O163" s="1">
        <v>177</v>
      </c>
      <c r="P163" s="1">
        <v>27</v>
      </c>
      <c r="Q163" s="1">
        <v>13</v>
      </c>
      <c r="R163" s="1">
        <v>19</v>
      </c>
      <c r="S163" s="1">
        <v>448</v>
      </c>
      <c r="T163" s="1">
        <v>402</v>
      </c>
      <c r="U163" s="1">
        <v>345</v>
      </c>
      <c r="V163" s="1">
        <v>418.25</v>
      </c>
      <c r="W163" s="1">
        <v>420.625</v>
      </c>
      <c r="X163" s="1">
        <v>-7.8125E-2</v>
      </c>
      <c r="Y163" s="1">
        <v>0.19710144927536219</v>
      </c>
      <c r="Z163" s="1">
        <v>413</v>
      </c>
      <c r="AA163" s="1">
        <v>404</v>
      </c>
      <c r="AB163" s="1">
        <v>40</v>
      </c>
      <c r="AC163" s="1">
        <v>1705</v>
      </c>
      <c r="AD163" s="1" t="s">
        <v>75</v>
      </c>
      <c r="AE163" s="1">
        <v>2</v>
      </c>
    </row>
    <row r="164" spans="1:31" x14ac:dyDescent="0.25">
      <c r="A164" s="1">
        <v>1</v>
      </c>
      <c r="B164" s="4">
        <v>42643</v>
      </c>
      <c r="C164" s="1" t="s">
        <v>68</v>
      </c>
      <c r="D164" s="1">
        <v>404</v>
      </c>
      <c r="E164" s="1">
        <v>404</v>
      </c>
      <c r="F164">
        <v>0.99752475247524763</v>
      </c>
      <c r="G164" s="1">
        <v>2.4752475247523998E-3</v>
      </c>
      <c r="H164" s="1">
        <v>8.8514851485148522</v>
      </c>
      <c r="I164" s="1">
        <v>0.60643564356435642</v>
      </c>
      <c r="J164" s="1">
        <v>0</v>
      </c>
      <c r="K164" s="1">
        <v>0</v>
      </c>
      <c r="L164" s="1">
        <v>3</v>
      </c>
      <c r="M164" s="1">
        <v>2</v>
      </c>
      <c r="N164" s="1">
        <v>0</v>
      </c>
      <c r="O164" s="1">
        <v>179</v>
      </c>
      <c r="P164" s="1">
        <v>23</v>
      </c>
      <c r="Q164" s="1">
        <v>13</v>
      </c>
      <c r="R164" s="1">
        <v>25</v>
      </c>
      <c r="S164" s="1">
        <v>413</v>
      </c>
      <c r="T164" s="1">
        <v>448</v>
      </c>
      <c r="U164" s="1">
        <v>410</v>
      </c>
      <c r="V164" s="1">
        <v>416.75</v>
      </c>
      <c r="W164" s="1">
        <v>405.5</v>
      </c>
      <c r="X164" s="1">
        <v>-2.17917675544794E-2</v>
      </c>
      <c r="Y164" s="1">
        <v>-1.46341463414634E-2</v>
      </c>
      <c r="Z164" s="1">
        <v>404</v>
      </c>
      <c r="AA164" s="1">
        <v>440</v>
      </c>
      <c r="AB164" s="1">
        <v>40</v>
      </c>
      <c r="AC164" s="1">
        <v>1705</v>
      </c>
      <c r="AD164" s="1" t="s">
        <v>75</v>
      </c>
      <c r="AE164" s="1">
        <v>3</v>
      </c>
    </row>
    <row r="165" spans="1:31" x14ac:dyDescent="0.25">
      <c r="A165" s="1">
        <v>1</v>
      </c>
      <c r="B165" s="4">
        <v>42735</v>
      </c>
      <c r="C165" s="1" t="s">
        <v>68</v>
      </c>
      <c r="D165" s="1">
        <v>440</v>
      </c>
      <c r="E165" s="1">
        <v>440</v>
      </c>
      <c r="F165">
        <v>0.99545454545454559</v>
      </c>
      <c r="G165" s="1">
        <v>2.2727272727272002E-3</v>
      </c>
      <c r="H165" s="1">
        <v>8.959090909090909</v>
      </c>
      <c r="I165" s="1">
        <v>0.64772727272727271</v>
      </c>
      <c r="J165" s="1">
        <v>0</v>
      </c>
      <c r="K165" s="1">
        <v>1</v>
      </c>
      <c r="L165" s="1">
        <v>9</v>
      </c>
      <c r="M165" s="1">
        <v>4</v>
      </c>
      <c r="N165" s="1">
        <v>0</v>
      </c>
      <c r="O165" s="1">
        <v>208</v>
      </c>
      <c r="P165" s="1">
        <v>21</v>
      </c>
      <c r="Q165" s="1">
        <v>12</v>
      </c>
      <c r="R165" s="1">
        <v>30</v>
      </c>
      <c r="S165" s="1">
        <v>404</v>
      </c>
      <c r="T165" s="1">
        <v>413</v>
      </c>
      <c r="U165" s="1">
        <v>402</v>
      </c>
      <c r="V165" s="1">
        <v>426.25</v>
      </c>
      <c r="W165" s="1">
        <v>408.25</v>
      </c>
      <c r="X165" s="1">
        <v>8.9108910891089105E-2</v>
      </c>
      <c r="Y165" s="1">
        <v>9.4527363184079505E-2</v>
      </c>
      <c r="Z165" s="1">
        <v>440</v>
      </c>
      <c r="AA165" s="1">
        <v>358</v>
      </c>
      <c r="AB165" s="1">
        <v>40</v>
      </c>
      <c r="AC165" s="1">
        <v>1705</v>
      </c>
      <c r="AD165" s="1" t="s">
        <v>75</v>
      </c>
      <c r="AE165" s="1">
        <v>4</v>
      </c>
    </row>
    <row r="166" spans="1:31" x14ac:dyDescent="0.25">
      <c r="A166" s="1">
        <v>1</v>
      </c>
      <c r="B166" s="4">
        <v>42825</v>
      </c>
      <c r="C166" s="1" t="s">
        <v>68</v>
      </c>
      <c r="D166" s="1">
        <v>358</v>
      </c>
      <c r="E166" s="1">
        <v>358</v>
      </c>
      <c r="F166">
        <v>0.99720670391061439</v>
      </c>
      <c r="G166" s="1">
        <v>2.7932960893853999E-3</v>
      </c>
      <c r="H166" s="1">
        <v>9.1648044692737436</v>
      </c>
      <c r="I166" s="1">
        <v>0.65083798882681565</v>
      </c>
      <c r="J166" s="1">
        <v>0</v>
      </c>
      <c r="K166" s="1">
        <v>1</v>
      </c>
      <c r="L166" s="1">
        <v>5</v>
      </c>
      <c r="M166" s="1">
        <v>4</v>
      </c>
      <c r="N166" s="1">
        <v>0</v>
      </c>
      <c r="O166" s="1">
        <v>167</v>
      </c>
      <c r="P166" s="1">
        <v>21</v>
      </c>
      <c r="Q166" s="1">
        <v>10</v>
      </c>
      <c r="R166" s="1">
        <v>25</v>
      </c>
      <c r="S166" s="1">
        <v>440</v>
      </c>
      <c r="T166" s="1">
        <v>404</v>
      </c>
      <c r="U166" s="1">
        <v>448</v>
      </c>
      <c r="V166" s="1">
        <v>403.75</v>
      </c>
      <c r="W166" s="1">
        <v>402.5</v>
      </c>
      <c r="X166" s="1">
        <v>-0.1863636363636364</v>
      </c>
      <c r="Y166" s="1">
        <v>-0.2008928571428571</v>
      </c>
      <c r="Z166" s="1">
        <v>358</v>
      </c>
      <c r="AA166" s="1">
        <v>447</v>
      </c>
      <c r="AB166" s="1">
        <v>41</v>
      </c>
      <c r="AC166" s="1">
        <v>1599</v>
      </c>
      <c r="AD166" s="1" t="s">
        <v>76</v>
      </c>
      <c r="AE166" s="1">
        <v>1</v>
      </c>
    </row>
    <row r="167" spans="1:31" x14ac:dyDescent="0.25">
      <c r="A167" s="1">
        <v>1</v>
      </c>
      <c r="B167" s="4">
        <v>42916</v>
      </c>
      <c r="C167" s="1" t="s">
        <v>68</v>
      </c>
      <c r="D167" s="1">
        <v>447</v>
      </c>
      <c r="E167" s="1">
        <v>447</v>
      </c>
      <c r="F167">
        <v>1</v>
      </c>
      <c r="G167" s="1">
        <v>0</v>
      </c>
      <c r="H167" s="1">
        <v>9.4362416107382554</v>
      </c>
      <c r="I167" s="1">
        <v>0.70917225950783003</v>
      </c>
      <c r="J167" s="1">
        <v>0</v>
      </c>
      <c r="K167" s="1">
        <v>2</v>
      </c>
      <c r="L167" s="1">
        <v>5</v>
      </c>
      <c r="M167" s="1">
        <v>4</v>
      </c>
      <c r="N167" s="1">
        <v>2</v>
      </c>
      <c r="O167" s="1">
        <v>231</v>
      </c>
      <c r="P167" s="1">
        <v>21</v>
      </c>
      <c r="Q167" s="1">
        <v>18</v>
      </c>
      <c r="R167" s="1">
        <v>34</v>
      </c>
      <c r="S167" s="1">
        <v>358</v>
      </c>
      <c r="T167" s="1">
        <v>440</v>
      </c>
      <c r="U167" s="1">
        <v>413</v>
      </c>
      <c r="V167" s="1">
        <v>412.25</v>
      </c>
      <c r="W167" s="1">
        <v>415.25</v>
      </c>
      <c r="X167" s="1">
        <v>0.24860335195530719</v>
      </c>
      <c r="Y167" s="1">
        <v>8.2324455205811095E-2</v>
      </c>
      <c r="Z167" s="1">
        <v>447</v>
      </c>
      <c r="AA167" s="1">
        <v>423</v>
      </c>
      <c r="AB167" s="1">
        <v>41</v>
      </c>
      <c r="AC167" s="1">
        <v>1599</v>
      </c>
      <c r="AD167" s="1" t="s">
        <v>76</v>
      </c>
      <c r="AE167" s="1">
        <v>2</v>
      </c>
    </row>
    <row r="168" spans="1:31" x14ac:dyDescent="0.25">
      <c r="A168" s="1">
        <v>1</v>
      </c>
      <c r="B168" s="4">
        <v>43008</v>
      </c>
      <c r="C168" s="1" t="s">
        <v>68</v>
      </c>
      <c r="D168" s="1">
        <v>423</v>
      </c>
      <c r="E168" s="1">
        <v>423</v>
      </c>
      <c r="F168">
        <v>0.99763593380614657</v>
      </c>
      <c r="G168" s="1">
        <v>0</v>
      </c>
      <c r="H168" s="1">
        <v>9.3096926713947994</v>
      </c>
      <c r="I168" s="1">
        <v>0.61229314420803782</v>
      </c>
      <c r="J168" s="1">
        <v>0</v>
      </c>
      <c r="K168" s="1">
        <v>1</v>
      </c>
      <c r="L168" s="1">
        <v>3</v>
      </c>
      <c r="M168" s="1">
        <v>2</v>
      </c>
      <c r="N168" s="1">
        <v>0</v>
      </c>
      <c r="O168" s="1">
        <v>203</v>
      </c>
      <c r="P168" s="1">
        <v>23</v>
      </c>
      <c r="Q168" s="1">
        <v>9</v>
      </c>
      <c r="R168" s="1">
        <v>18</v>
      </c>
      <c r="S168" s="1">
        <v>447</v>
      </c>
      <c r="T168" s="1">
        <v>358</v>
      </c>
      <c r="U168" s="1">
        <v>404</v>
      </c>
      <c r="V168" s="1">
        <v>417</v>
      </c>
      <c r="W168" s="1">
        <v>416.875</v>
      </c>
      <c r="X168" s="1">
        <v>-5.3691275167785199E-2</v>
      </c>
      <c r="Y168" s="1">
        <v>4.7029702970297002E-2</v>
      </c>
      <c r="Z168" s="1">
        <v>423</v>
      </c>
      <c r="AA168" s="1">
        <v>371</v>
      </c>
      <c r="AB168" s="1">
        <v>41</v>
      </c>
      <c r="AC168" s="1">
        <v>1599</v>
      </c>
      <c r="AD168" s="1" t="s">
        <v>76</v>
      </c>
      <c r="AE168" s="1">
        <v>3</v>
      </c>
    </row>
    <row r="169" spans="1:31" x14ac:dyDescent="0.25">
      <c r="A169" s="1">
        <v>1</v>
      </c>
      <c r="B169" s="4">
        <v>43100</v>
      </c>
      <c r="C169" s="1" t="s">
        <v>68</v>
      </c>
      <c r="D169" s="1">
        <v>371</v>
      </c>
      <c r="E169" s="1">
        <v>371</v>
      </c>
      <c r="F169">
        <v>0.99730458221024243</v>
      </c>
      <c r="G169" s="1">
        <v>0</v>
      </c>
      <c r="H169" s="1">
        <v>9.0646900269541781</v>
      </c>
      <c r="I169" s="1">
        <v>0.61725067385444743</v>
      </c>
      <c r="J169" s="1">
        <v>0</v>
      </c>
      <c r="K169" s="1">
        <v>1</v>
      </c>
      <c r="L169" s="1">
        <v>5</v>
      </c>
      <c r="M169" s="1">
        <v>2</v>
      </c>
      <c r="N169" s="1">
        <v>1</v>
      </c>
      <c r="O169" s="1">
        <v>176</v>
      </c>
      <c r="P169" s="1">
        <v>10</v>
      </c>
      <c r="Q169" s="1">
        <v>8</v>
      </c>
      <c r="R169" s="1">
        <v>26</v>
      </c>
      <c r="S169" s="1">
        <v>423</v>
      </c>
      <c r="T169" s="1">
        <v>447</v>
      </c>
      <c r="U169" s="1">
        <v>440</v>
      </c>
      <c r="V169" s="1">
        <v>399.75</v>
      </c>
      <c r="W169" s="1">
        <v>413</v>
      </c>
      <c r="X169" s="1">
        <v>-0.12293144208037821</v>
      </c>
      <c r="Y169" s="1">
        <v>-0.1568181818181818</v>
      </c>
      <c r="Z169" s="1">
        <v>371</v>
      </c>
      <c r="AA169" s="1">
        <v>349</v>
      </c>
      <c r="AB169" s="1">
        <v>41</v>
      </c>
      <c r="AC169" s="1">
        <v>1599</v>
      </c>
      <c r="AD169" s="1" t="s">
        <v>76</v>
      </c>
      <c r="AE169" s="1">
        <v>4</v>
      </c>
    </row>
    <row r="170" spans="1:31" x14ac:dyDescent="0.25">
      <c r="A170" s="1">
        <v>1</v>
      </c>
      <c r="B170" s="4">
        <v>43190</v>
      </c>
      <c r="C170" s="1" t="s">
        <v>68</v>
      </c>
      <c r="D170" s="1">
        <v>349</v>
      </c>
      <c r="E170" s="1">
        <v>349</v>
      </c>
      <c r="F170">
        <v>0.99713467048710602</v>
      </c>
      <c r="G170" s="1">
        <v>2.8653295128938999E-3</v>
      </c>
      <c r="H170" s="1">
        <v>9.4527220630372497</v>
      </c>
      <c r="I170" s="1">
        <v>0.67048710601719197</v>
      </c>
      <c r="J170" s="1">
        <v>0</v>
      </c>
      <c r="K170" s="1">
        <v>0</v>
      </c>
      <c r="L170" s="1">
        <v>8</v>
      </c>
      <c r="M170" s="1">
        <v>5</v>
      </c>
      <c r="N170" s="1">
        <v>0</v>
      </c>
      <c r="O170" s="1">
        <v>171</v>
      </c>
      <c r="P170" s="1">
        <v>15</v>
      </c>
      <c r="Q170" s="1">
        <v>17</v>
      </c>
      <c r="R170" s="1">
        <v>18</v>
      </c>
      <c r="S170" s="1">
        <v>371</v>
      </c>
      <c r="T170" s="1">
        <v>423</v>
      </c>
      <c r="U170" s="1">
        <v>358</v>
      </c>
      <c r="V170" s="1">
        <v>397.5</v>
      </c>
      <c r="W170" s="1">
        <v>400.625</v>
      </c>
      <c r="X170" s="1">
        <v>-5.92991913746631E-2</v>
      </c>
      <c r="Y170" s="1">
        <v>-2.5139664804469199E-2</v>
      </c>
      <c r="Z170" s="1">
        <v>349</v>
      </c>
      <c r="AA170" s="1">
        <v>369</v>
      </c>
      <c r="AB170" s="1">
        <v>42</v>
      </c>
      <c r="AC170" s="1">
        <v>1376</v>
      </c>
      <c r="AD170" s="1" t="s">
        <v>77</v>
      </c>
      <c r="AE170" s="1">
        <v>1</v>
      </c>
    </row>
    <row r="171" spans="1:31" x14ac:dyDescent="0.25">
      <c r="A171" s="1">
        <v>1</v>
      </c>
      <c r="B171" s="4">
        <v>43281</v>
      </c>
      <c r="C171" s="1" t="s">
        <v>68</v>
      </c>
      <c r="D171" s="1">
        <v>369</v>
      </c>
      <c r="E171" s="1">
        <v>369</v>
      </c>
      <c r="F171">
        <v>1</v>
      </c>
      <c r="G171" s="1">
        <v>0</v>
      </c>
      <c r="H171" s="1">
        <v>9.0867208672086726</v>
      </c>
      <c r="I171" s="1">
        <v>0.59078590785907859</v>
      </c>
      <c r="J171" s="1">
        <v>0</v>
      </c>
      <c r="K171" s="1">
        <v>1</v>
      </c>
      <c r="L171" s="1">
        <v>2</v>
      </c>
      <c r="M171" s="1">
        <v>4</v>
      </c>
      <c r="N171" s="1">
        <v>0</v>
      </c>
      <c r="O171" s="1">
        <v>169</v>
      </c>
      <c r="P171" s="1">
        <v>12</v>
      </c>
      <c r="Q171" s="1">
        <v>7</v>
      </c>
      <c r="R171" s="1">
        <v>23</v>
      </c>
      <c r="S171" s="1">
        <v>349</v>
      </c>
      <c r="T171" s="1">
        <v>371</v>
      </c>
      <c r="U171" s="1">
        <v>447</v>
      </c>
      <c r="V171" s="1">
        <v>378</v>
      </c>
      <c r="W171" s="1">
        <v>395.125</v>
      </c>
      <c r="X171" s="1">
        <v>5.7306590257879701E-2</v>
      </c>
      <c r="Y171" s="1">
        <v>-0.1744966442953019</v>
      </c>
      <c r="Z171" s="1">
        <v>369</v>
      </c>
      <c r="AA171" s="1">
        <v>324</v>
      </c>
      <c r="AB171" s="1">
        <v>42</v>
      </c>
      <c r="AC171" s="1">
        <v>1376</v>
      </c>
      <c r="AD171" s="1" t="s">
        <v>77</v>
      </c>
      <c r="AE171" s="1">
        <v>2</v>
      </c>
    </row>
    <row r="172" spans="1:31" x14ac:dyDescent="0.25">
      <c r="A172" s="1">
        <v>1</v>
      </c>
      <c r="B172" s="4">
        <v>43373</v>
      </c>
      <c r="C172" s="1" t="s">
        <v>68</v>
      </c>
      <c r="D172" s="1">
        <v>324</v>
      </c>
      <c r="E172" s="1">
        <v>324</v>
      </c>
      <c r="F172">
        <v>1</v>
      </c>
      <c r="G172" s="1">
        <v>0</v>
      </c>
      <c r="H172" s="1">
        <v>8.8981481481481488</v>
      </c>
      <c r="I172" s="1">
        <v>0.6820987654320988</v>
      </c>
      <c r="J172" s="1">
        <v>0</v>
      </c>
      <c r="K172" s="1">
        <v>0</v>
      </c>
      <c r="L172" s="1">
        <v>7</v>
      </c>
      <c r="M172" s="1">
        <v>2</v>
      </c>
      <c r="N172" s="1">
        <v>1</v>
      </c>
      <c r="O172" s="1">
        <v>163</v>
      </c>
      <c r="P172" s="1">
        <v>13</v>
      </c>
      <c r="Q172" s="1">
        <v>14</v>
      </c>
      <c r="R172" s="1">
        <v>21</v>
      </c>
      <c r="S172" s="1">
        <v>369</v>
      </c>
      <c r="T172" s="1">
        <v>349</v>
      </c>
      <c r="U172" s="1">
        <v>423</v>
      </c>
      <c r="V172" s="1">
        <v>353.25</v>
      </c>
      <c r="W172" s="1">
        <v>385.125</v>
      </c>
      <c r="X172" s="1">
        <v>-0.12195121951219511</v>
      </c>
      <c r="Y172" s="1">
        <v>-0.23404255319148931</v>
      </c>
      <c r="Z172" s="1">
        <v>324</v>
      </c>
      <c r="AA172" s="1">
        <v>334</v>
      </c>
      <c r="AB172" s="1">
        <v>42</v>
      </c>
      <c r="AC172" s="1">
        <v>1376</v>
      </c>
      <c r="AD172" s="1" t="s">
        <v>77</v>
      </c>
      <c r="AE172" s="1">
        <v>3</v>
      </c>
    </row>
    <row r="173" spans="1:31" x14ac:dyDescent="0.25">
      <c r="A173" s="1">
        <v>1</v>
      </c>
      <c r="B173" s="4">
        <v>43465</v>
      </c>
      <c r="C173" s="1" t="s">
        <v>68</v>
      </c>
      <c r="D173" s="1">
        <v>334</v>
      </c>
      <c r="E173" s="1">
        <v>334</v>
      </c>
      <c r="F173">
        <v>0.99700598802395202</v>
      </c>
      <c r="G173" s="1">
        <v>0</v>
      </c>
      <c r="H173" s="1">
        <v>9.2994011976047908</v>
      </c>
      <c r="I173" s="1">
        <v>0.6467065868263473</v>
      </c>
      <c r="J173" s="1">
        <v>0</v>
      </c>
      <c r="K173" s="1">
        <v>1</v>
      </c>
      <c r="L173" s="1">
        <v>2</v>
      </c>
      <c r="M173" s="1">
        <v>1</v>
      </c>
      <c r="N173" s="1">
        <v>1</v>
      </c>
      <c r="O173" s="1">
        <v>168</v>
      </c>
      <c r="P173" s="1">
        <v>12</v>
      </c>
      <c r="Q173" s="1">
        <v>14</v>
      </c>
      <c r="R173" s="1">
        <v>17</v>
      </c>
      <c r="S173" s="1">
        <v>324</v>
      </c>
      <c r="T173" s="1">
        <v>369</v>
      </c>
      <c r="U173" s="1">
        <v>371</v>
      </c>
      <c r="V173" s="1">
        <v>344</v>
      </c>
      <c r="W173" s="1">
        <v>371.875</v>
      </c>
      <c r="X173" s="1">
        <v>3.0864197530864099E-2</v>
      </c>
      <c r="Y173" s="1">
        <v>-9.9730458221024207E-2</v>
      </c>
      <c r="Z173" s="1">
        <v>334</v>
      </c>
      <c r="AA173" s="1">
        <v>351</v>
      </c>
      <c r="AB173" s="1">
        <v>42</v>
      </c>
      <c r="AC173" s="1">
        <v>1376</v>
      </c>
      <c r="AD173" s="1" t="s">
        <v>77</v>
      </c>
      <c r="AE173" s="1">
        <v>4</v>
      </c>
    </row>
    <row r="174" spans="1:31" x14ac:dyDescent="0.25">
      <c r="A174" s="1">
        <v>1</v>
      </c>
      <c r="B174" s="4">
        <v>43555</v>
      </c>
      <c r="C174" s="1" t="s">
        <v>68</v>
      </c>
      <c r="D174" s="1">
        <v>351</v>
      </c>
      <c r="E174" s="1">
        <v>351</v>
      </c>
      <c r="F174">
        <v>0.9943019943019944</v>
      </c>
      <c r="G174" s="1">
        <v>2.8490028490028001E-3</v>
      </c>
      <c r="H174" s="1">
        <v>9.0142450142450166</v>
      </c>
      <c r="I174" s="1">
        <v>0.62962962962962965</v>
      </c>
      <c r="J174" s="1">
        <v>1</v>
      </c>
      <c r="K174" s="1">
        <v>0</v>
      </c>
      <c r="L174" s="1">
        <v>7</v>
      </c>
      <c r="M174" s="1">
        <v>2</v>
      </c>
      <c r="N174" s="1">
        <v>2</v>
      </c>
      <c r="O174" s="1">
        <v>160</v>
      </c>
      <c r="P174" s="1">
        <v>10</v>
      </c>
      <c r="Q174" s="1">
        <v>16</v>
      </c>
      <c r="R174" s="1">
        <v>23</v>
      </c>
      <c r="S174" s="1">
        <v>334</v>
      </c>
      <c r="T174" s="1">
        <v>324</v>
      </c>
      <c r="U174" s="1">
        <v>349</v>
      </c>
      <c r="V174" s="1">
        <v>344.5</v>
      </c>
      <c r="W174" s="1">
        <v>371</v>
      </c>
      <c r="X174" s="1">
        <v>5.0898203592814197E-2</v>
      </c>
      <c r="Y174" s="1">
        <v>5.7306590257879004E-3</v>
      </c>
      <c r="Z174" s="1">
        <v>351</v>
      </c>
      <c r="AA174" s="1">
        <v>425</v>
      </c>
      <c r="AB174" s="1">
        <v>43</v>
      </c>
      <c r="AC174" s="1">
        <v>1632</v>
      </c>
      <c r="AD174" s="1" t="s">
        <v>78</v>
      </c>
      <c r="AE174" s="1">
        <v>1</v>
      </c>
    </row>
    <row r="175" spans="1:31" x14ac:dyDescent="0.25">
      <c r="A175" s="1">
        <v>1</v>
      </c>
      <c r="B175" s="4">
        <v>43646</v>
      </c>
      <c r="C175" s="1" t="s">
        <v>68</v>
      </c>
      <c r="D175" s="1">
        <v>425</v>
      </c>
      <c r="E175" s="1">
        <v>425</v>
      </c>
      <c r="F175">
        <v>0.99529411764705877</v>
      </c>
      <c r="G175" s="1">
        <v>0</v>
      </c>
      <c r="H175" s="1">
        <v>9.4870588235294129</v>
      </c>
      <c r="I175" s="1">
        <v>0.66823529411764704</v>
      </c>
      <c r="J175" s="1">
        <v>0</v>
      </c>
      <c r="K175" s="1">
        <v>1</v>
      </c>
      <c r="L175" s="1">
        <v>4</v>
      </c>
      <c r="M175" s="1">
        <v>4</v>
      </c>
      <c r="N175" s="1">
        <v>3</v>
      </c>
      <c r="O175" s="1">
        <v>212</v>
      </c>
      <c r="P175" s="1">
        <v>7</v>
      </c>
      <c r="Q175" s="1">
        <v>22</v>
      </c>
      <c r="R175" s="1">
        <v>31</v>
      </c>
      <c r="S175" s="1">
        <v>351</v>
      </c>
      <c r="T175" s="1">
        <v>334</v>
      </c>
      <c r="U175" s="1">
        <v>369</v>
      </c>
      <c r="V175" s="1">
        <v>358.5</v>
      </c>
      <c r="W175" s="1">
        <v>368.25</v>
      </c>
      <c r="X175" s="1">
        <v>0.21082621082621089</v>
      </c>
      <c r="Y175" s="1">
        <v>0.15176151761517609</v>
      </c>
      <c r="Z175" s="1">
        <v>425</v>
      </c>
      <c r="AA175" s="1">
        <v>395</v>
      </c>
      <c r="AB175" s="1">
        <v>43</v>
      </c>
      <c r="AC175" s="1">
        <v>1632</v>
      </c>
      <c r="AD175" s="1" t="s">
        <v>78</v>
      </c>
      <c r="AE175" s="1">
        <v>2</v>
      </c>
    </row>
    <row r="176" spans="1:31" x14ac:dyDescent="0.25">
      <c r="A176" s="1">
        <v>1</v>
      </c>
      <c r="B176" s="4">
        <v>43738</v>
      </c>
      <c r="C176" s="1" t="s">
        <v>68</v>
      </c>
      <c r="D176" s="1">
        <v>395</v>
      </c>
      <c r="E176" s="1">
        <v>395</v>
      </c>
      <c r="F176">
        <v>0.99746835443037962</v>
      </c>
      <c r="G176" s="1">
        <v>0</v>
      </c>
      <c r="H176" s="1">
        <v>8.9341772151898731</v>
      </c>
      <c r="I176" s="1">
        <v>0.59493670886075944</v>
      </c>
      <c r="J176" s="1">
        <v>0</v>
      </c>
      <c r="K176" s="1">
        <v>2</v>
      </c>
      <c r="L176" s="1">
        <v>9</v>
      </c>
      <c r="M176" s="1">
        <v>3</v>
      </c>
      <c r="N176" s="1">
        <v>0</v>
      </c>
      <c r="O176" s="1">
        <v>175</v>
      </c>
      <c r="P176" s="1">
        <v>9</v>
      </c>
      <c r="Q176" s="1">
        <v>13</v>
      </c>
      <c r="R176" s="1">
        <v>24</v>
      </c>
      <c r="S176" s="1">
        <v>425</v>
      </c>
      <c r="T176" s="1">
        <v>351</v>
      </c>
      <c r="U176" s="1">
        <v>324</v>
      </c>
      <c r="V176" s="1">
        <v>376.25</v>
      </c>
      <c r="W176" s="1">
        <v>364.75</v>
      </c>
      <c r="X176" s="1">
        <v>-7.0588235294117604E-2</v>
      </c>
      <c r="Y176" s="1">
        <v>0.21913580246913589</v>
      </c>
      <c r="Z176" s="1">
        <v>395</v>
      </c>
      <c r="AA176" s="1">
        <v>461</v>
      </c>
      <c r="AB176" s="1">
        <v>43</v>
      </c>
      <c r="AC176" s="1">
        <v>1632</v>
      </c>
      <c r="AD176" s="1" t="s">
        <v>78</v>
      </c>
      <c r="AE176" s="1">
        <v>3</v>
      </c>
    </row>
    <row r="177" spans="1:31" x14ac:dyDescent="0.25">
      <c r="A177" s="1">
        <v>1</v>
      </c>
      <c r="B177" s="4">
        <v>43830</v>
      </c>
      <c r="C177" s="1" t="s">
        <v>68</v>
      </c>
      <c r="D177" s="1">
        <v>461</v>
      </c>
      <c r="E177" s="1">
        <v>461</v>
      </c>
      <c r="F177">
        <v>1</v>
      </c>
      <c r="G177" s="1">
        <v>0</v>
      </c>
      <c r="H177" s="1">
        <v>9.0997830802603037</v>
      </c>
      <c r="I177" s="1">
        <v>0.6290672451193059</v>
      </c>
      <c r="J177" s="1">
        <v>5</v>
      </c>
      <c r="K177" s="1">
        <v>2</v>
      </c>
      <c r="L177" s="1">
        <v>8</v>
      </c>
      <c r="M177" s="1">
        <v>9</v>
      </c>
      <c r="N177" s="1">
        <v>4</v>
      </c>
      <c r="O177" s="1">
        <v>202</v>
      </c>
      <c r="P177" s="1">
        <v>15</v>
      </c>
      <c r="Q177" s="1">
        <v>15</v>
      </c>
      <c r="R177" s="1">
        <v>30</v>
      </c>
      <c r="S177" s="1">
        <v>395</v>
      </c>
      <c r="T177" s="1">
        <v>425</v>
      </c>
      <c r="U177" s="1">
        <v>334</v>
      </c>
      <c r="V177" s="1">
        <v>408</v>
      </c>
      <c r="W177" s="1">
        <v>376</v>
      </c>
      <c r="X177" s="1">
        <v>0.16708860759493671</v>
      </c>
      <c r="Y177" s="1">
        <v>0.38023952095808378</v>
      </c>
      <c r="Z177" s="1">
        <v>461</v>
      </c>
      <c r="AA177" s="1">
        <v>345</v>
      </c>
      <c r="AB177" s="1">
        <v>43</v>
      </c>
      <c r="AC177" s="1">
        <v>1632</v>
      </c>
      <c r="AD177" s="1" t="s">
        <v>78</v>
      </c>
      <c r="AE177" s="1">
        <v>4</v>
      </c>
    </row>
    <row r="178" spans="1:31" x14ac:dyDescent="0.25">
      <c r="A178" s="1">
        <v>1</v>
      </c>
      <c r="B178" s="4">
        <v>43921</v>
      </c>
      <c r="C178" s="1" t="s">
        <v>79</v>
      </c>
      <c r="D178" s="1">
        <v>345</v>
      </c>
      <c r="E178" s="1">
        <v>345</v>
      </c>
      <c r="F178">
        <v>0.99710144927536237</v>
      </c>
      <c r="G178" s="1">
        <v>0</v>
      </c>
      <c r="H178" s="1">
        <v>9.1304347826086953</v>
      </c>
      <c r="I178" s="1">
        <v>0.66086956521739126</v>
      </c>
      <c r="J178" s="1">
        <v>4</v>
      </c>
      <c r="K178" s="1">
        <v>1</v>
      </c>
      <c r="L178" s="1">
        <v>9</v>
      </c>
      <c r="M178" s="1">
        <v>6</v>
      </c>
      <c r="N178" s="1">
        <v>4</v>
      </c>
      <c r="O178" s="1">
        <v>150</v>
      </c>
      <c r="P178" s="1">
        <v>15</v>
      </c>
      <c r="Q178" s="1">
        <v>17</v>
      </c>
      <c r="R178" s="1">
        <v>22</v>
      </c>
      <c r="S178" s="1">
        <v>461</v>
      </c>
      <c r="T178" s="1">
        <v>395</v>
      </c>
      <c r="U178" s="1">
        <v>351</v>
      </c>
      <c r="V178" s="1">
        <v>406.5</v>
      </c>
      <c r="W178" s="1">
        <v>375.5</v>
      </c>
      <c r="X178" s="1">
        <v>-0.25162689804772231</v>
      </c>
      <c r="Y178" s="1">
        <v>-1.7094017094017099E-2</v>
      </c>
      <c r="Z178" s="1">
        <v>345</v>
      </c>
      <c r="AA178" s="1">
        <v>363</v>
      </c>
      <c r="AB178" s="1">
        <v>44</v>
      </c>
      <c r="AC178" s="1">
        <v>1391</v>
      </c>
      <c r="AD178" s="1" t="s">
        <v>80</v>
      </c>
      <c r="AE178" s="1">
        <v>1</v>
      </c>
    </row>
    <row r="179" spans="1:31" x14ac:dyDescent="0.25">
      <c r="A179" s="1">
        <v>1</v>
      </c>
      <c r="B179" s="4">
        <v>44012</v>
      </c>
      <c r="C179" s="1" t="s">
        <v>79</v>
      </c>
      <c r="D179" s="1">
        <v>363</v>
      </c>
      <c r="E179" s="1">
        <v>363</v>
      </c>
      <c r="F179">
        <v>1</v>
      </c>
      <c r="G179" s="1">
        <v>0</v>
      </c>
      <c r="H179" s="1">
        <v>8.6446280991735538</v>
      </c>
      <c r="I179" s="1">
        <v>0.65013774104683197</v>
      </c>
      <c r="J179" s="1">
        <v>5</v>
      </c>
      <c r="K179" s="1">
        <v>0</v>
      </c>
      <c r="L179" s="1">
        <v>8</v>
      </c>
      <c r="M179" s="1">
        <v>4</v>
      </c>
      <c r="N179" s="1">
        <v>1</v>
      </c>
      <c r="O179" s="1">
        <v>173</v>
      </c>
      <c r="P179" s="1">
        <v>10</v>
      </c>
      <c r="Q179" s="1">
        <v>19</v>
      </c>
      <c r="R179" s="1">
        <v>16</v>
      </c>
      <c r="S179" s="1">
        <v>345</v>
      </c>
      <c r="T179" s="1">
        <v>461</v>
      </c>
      <c r="U179" s="1">
        <v>425</v>
      </c>
      <c r="V179" s="1">
        <v>391</v>
      </c>
      <c r="W179" s="1">
        <v>374.75</v>
      </c>
      <c r="X179" s="1">
        <v>5.2173913043478098E-2</v>
      </c>
      <c r="Y179" s="1">
        <v>-0.14588235294117641</v>
      </c>
      <c r="Z179" s="1">
        <v>363</v>
      </c>
      <c r="AA179" s="1">
        <v>368</v>
      </c>
      <c r="AB179" s="1">
        <v>44</v>
      </c>
      <c r="AC179" s="1">
        <v>1391</v>
      </c>
      <c r="AD179" s="1" t="s">
        <v>80</v>
      </c>
      <c r="AE179" s="1">
        <v>2</v>
      </c>
    </row>
    <row r="180" spans="1:31" x14ac:dyDescent="0.25">
      <c r="A180" s="1">
        <v>1</v>
      </c>
      <c r="B180" s="4">
        <v>44104</v>
      </c>
      <c r="C180" s="1" t="s">
        <v>79</v>
      </c>
      <c r="D180" s="1">
        <v>368</v>
      </c>
      <c r="E180" s="1">
        <v>368</v>
      </c>
      <c r="F180">
        <v>1</v>
      </c>
      <c r="G180" s="1">
        <v>0</v>
      </c>
      <c r="H180" s="1">
        <v>9.6793478260869552</v>
      </c>
      <c r="I180" s="1">
        <v>0.69836956521739135</v>
      </c>
      <c r="J180" s="1">
        <v>4</v>
      </c>
      <c r="K180" s="1">
        <v>0</v>
      </c>
      <c r="L180" s="1">
        <v>11</v>
      </c>
      <c r="M180" s="1">
        <v>4</v>
      </c>
      <c r="N180" s="1">
        <v>1</v>
      </c>
      <c r="O180" s="1">
        <v>185</v>
      </c>
      <c r="P180" s="1">
        <v>11</v>
      </c>
      <c r="Q180" s="1">
        <v>18</v>
      </c>
      <c r="R180" s="1">
        <v>23</v>
      </c>
      <c r="S180" s="1">
        <v>363</v>
      </c>
      <c r="T180" s="1">
        <v>345</v>
      </c>
      <c r="U180" s="1">
        <v>395</v>
      </c>
      <c r="V180" s="1">
        <v>384.25</v>
      </c>
      <c r="W180" s="1">
        <v>380.25</v>
      </c>
      <c r="X180" s="1">
        <v>1.37741046831956E-2</v>
      </c>
      <c r="Y180" s="1">
        <v>-6.8354430379746797E-2</v>
      </c>
      <c r="Z180" s="1">
        <v>368</v>
      </c>
      <c r="AA180" s="1">
        <v>315</v>
      </c>
      <c r="AB180" s="1">
        <v>44</v>
      </c>
      <c r="AC180" s="1">
        <v>1391</v>
      </c>
      <c r="AD180" s="1" t="s">
        <v>80</v>
      </c>
      <c r="AE180" s="1">
        <v>3</v>
      </c>
    </row>
    <row r="181" spans="1:31" x14ac:dyDescent="0.25">
      <c r="A181" s="1">
        <v>1</v>
      </c>
      <c r="B181" s="4">
        <v>44196</v>
      </c>
      <c r="C181" s="1" t="s">
        <v>79</v>
      </c>
      <c r="D181" s="1">
        <v>315</v>
      </c>
      <c r="E181" s="1">
        <v>315</v>
      </c>
      <c r="F181">
        <v>0.99365079365079356</v>
      </c>
      <c r="G181" s="1">
        <v>3.1746031746031E-3</v>
      </c>
      <c r="H181" s="1">
        <v>9.4476190476190478</v>
      </c>
      <c r="I181" s="1">
        <v>0.59047619047619049</v>
      </c>
      <c r="J181" s="1">
        <v>3</v>
      </c>
      <c r="K181" s="1">
        <v>0</v>
      </c>
      <c r="L181" s="1">
        <v>4</v>
      </c>
      <c r="M181" s="1">
        <v>2</v>
      </c>
      <c r="N181" s="1">
        <v>1</v>
      </c>
      <c r="O181" s="1">
        <v>135</v>
      </c>
      <c r="P181" s="1">
        <v>11</v>
      </c>
      <c r="Q181" s="1">
        <v>10</v>
      </c>
      <c r="R181" s="1">
        <v>20</v>
      </c>
      <c r="S181" s="1">
        <v>368</v>
      </c>
      <c r="T181" s="1">
        <v>363</v>
      </c>
      <c r="U181" s="1">
        <v>461</v>
      </c>
      <c r="V181" s="1">
        <v>347.75</v>
      </c>
      <c r="W181" s="1">
        <v>377.875</v>
      </c>
      <c r="X181" s="1">
        <v>-0.14402173913043481</v>
      </c>
      <c r="Y181" s="1">
        <v>-0.31670281995661609</v>
      </c>
      <c r="Z181" s="1">
        <v>315</v>
      </c>
      <c r="AA181" s="1">
        <v>385</v>
      </c>
      <c r="AB181" s="1">
        <v>44</v>
      </c>
      <c r="AC181" s="1">
        <v>1391</v>
      </c>
      <c r="AD181" s="1" t="s">
        <v>80</v>
      </c>
      <c r="AE181" s="1">
        <v>4</v>
      </c>
    </row>
    <row r="182" spans="1:31" x14ac:dyDescent="0.25">
      <c r="A182" s="1">
        <v>1</v>
      </c>
      <c r="B182" s="4">
        <v>44286</v>
      </c>
      <c r="C182" s="1" t="s">
        <v>79</v>
      </c>
      <c r="D182" s="1">
        <v>385</v>
      </c>
      <c r="E182" s="1">
        <v>385</v>
      </c>
      <c r="F182">
        <v>0.9974025974025974</v>
      </c>
      <c r="G182" s="1">
        <v>2.5974025974024998E-3</v>
      </c>
      <c r="H182" s="1">
        <v>8.836363636363636</v>
      </c>
      <c r="I182" s="1">
        <v>0.69090909090909092</v>
      </c>
      <c r="J182" s="1">
        <v>9</v>
      </c>
      <c r="K182" s="1">
        <v>2</v>
      </c>
      <c r="L182" s="1">
        <v>10</v>
      </c>
      <c r="M182" s="1">
        <v>4</v>
      </c>
      <c r="N182" s="1">
        <v>6</v>
      </c>
      <c r="O182" s="1">
        <v>186</v>
      </c>
      <c r="P182" s="1">
        <v>17</v>
      </c>
      <c r="Q182" s="1">
        <v>10</v>
      </c>
      <c r="R182" s="1">
        <v>22</v>
      </c>
      <c r="S182" s="1">
        <v>315</v>
      </c>
      <c r="T182" s="1">
        <v>368</v>
      </c>
      <c r="U182" s="1">
        <v>345</v>
      </c>
      <c r="V182" s="1">
        <v>357.75</v>
      </c>
      <c r="W182" s="1">
        <v>382.125</v>
      </c>
      <c r="X182" s="1">
        <v>0.22222222222222229</v>
      </c>
      <c r="Y182" s="1">
        <v>0.1159420289855073</v>
      </c>
      <c r="Z182" s="1">
        <v>385</v>
      </c>
      <c r="AA182" s="1">
        <v>355</v>
      </c>
      <c r="AB182" s="1">
        <v>45</v>
      </c>
      <c r="AC182" s="1">
        <v>1404</v>
      </c>
      <c r="AD182" s="1" t="s">
        <v>81</v>
      </c>
      <c r="AE182" s="1">
        <v>1</v>
      </c>
    </row>
    <row r="183" spans="1:31" x14ac:dyDescent="0.25">
      <c r="A183" s="1">
        <v>1</v>
      </c>
      <c r="B183" s="4">
        <v>44377</v>
      </c>
      <c r="C183" s="1" t="s">
        <v>79</v>
      </c>
      <c r="D183" s="1">
        <v>355</v>
      </c>
      <c r="E183" s="1">
        <v>355</v>
      </c>
      <c r="F183">
        <v>1</v>
      </c>
      <c r="G183" s="1">
        <v>0</v>
      </c>
      <c r="H183" s="1">
        <v>9.0450704225352112</v>
      </c>
      <c r="I183" s="1">
        <v>0.6845070422535211</v>
      </c>
      <c r="J183" s="1">
        <v>8</v>
      </c>
      <c r="K183" s="1">
        <v>1</v>
      </c>
      <c r="L183" s="1">
        <v>7</v>
      </c>
      <c r="M183" s="1">
        <v>7</v>
      </c>
      <c r="N183" s="1">
        <v>4</v>
      </c>
      <c r="O183" s="1">
        <v>160</v>
      </c>
      <c r="P183" s="1">
        <v>15</v>
      </c>
      <c r="Q183" s="1">
        <v>19</v>
      </c>
      <c r="R183" s="1">
        <v>22</v>
      </c>
      <c r="S183" s="1">
        <v>385</v>
      </c>
      <c r="T183" s="1">
        <v>315</v>
      </c>
      <c r="U183" s="1">
        <v>363</v>
      </c>
      <c r="V183" s="1">
        <v>355.75</v>
      </c>
      <c r="W183" s="1">
        <v>373.375</v>
      </c>
      <c r="X183" s="1">
        <v>-7.7922077922077906E-2</v>
      </c>
      <c r="Y183" s="1">
        <v>-2.20385674931129E-2</v>
      </c>
      <c r="Z183" s="1">
        <v>355</v>
      </c>
      <c r="AA183" s="1">
        <v>342</v>
      </c>
      <c r="AB183" s="1">
        <v>45</v>
      </c>
      <c r="AC183" s="1">
        <v>1404</v>
      </c>
      <c r="AD183" s="1" t="s">
        <v>81</v>
      </c>
      <c r="AE183" s="1">
        <v>2</v>
      </c>
    </row>
    <row r="184" spans="1:31" x14ac:dyDescent="0.25">
      <c r="A184" s="1">
        <v>1</v>
      </c>
      <c r="B184" s="4">
        <v>44469</v>
      </c>
      <c r="C184" s="1" t="s">
        <v>79</v>
      </c>
      <c r="D184" s="1">
        <v>342</v>
      </c>
      <c r="E184" s="1">
        <v>342</v>
      </c>
      <c r="F184">
        <v>1</v>
      </c>
      <c r="G184" s="1">
        <v>0</v>
      </c>
      <c r="H184" s="1">
        <v>8.3859649122807021</v>
      </c>
      <c r="I184" s="1">
        <v>0.60818713450292394</v>
      </c>
      <c r="J184" s="1">
        <v>6</v>
      </c>
      <c r="K184" s="1">
        <v>2</v>
      </c>
      <c r="L184" s="1">
        <v>6</v>
      </c>
      <c r="M184" s="1">
        <v>3</v>
      </c>
      <c r="N184" s="1">
        <v>0</v>
      </c>
      <c r="O184" s="1">
        <v>148</v>
      </c>
      <c r="P184" s="1">
        <v>9</v>
      </c>
      <c r="Q184" s="1">
        <v>17</v>
      </c>
      <c r="R184" s="1">
        <v>17</v>
      </c>
      <c r="S184" s="1">
        <v>355</v>
      </c>
      <c r="T184" s="1">
        <v>385</v>
      </c>
      <c r="U184" s="1">
        <v>368</v>
      </c>
      <c r="V184" s="1">
        <v>349.25</v>
      </c>
      <c r="W184" s="1">
        <v>366.75</v>
      </c>
      <c r="X184" s="1">
        <v>-3.6619718309859099E-2</v>
      </c>
      <c r="Y184" s="1">
        <v>-7.0652173913043403E-2</v>
      </c>
      <c r="Z184" s="1">
        <v>342</v>
      </c>
      <c r="AA184" s="1">
        <v>322</v>
      </c>
      <c r="AB184" s="1">
        <v>45</v>
      </c>
      <c r="AC184" s="1">
        <v>1404</v>
      </c>
      <c r="AD184" s="1" t="s">
        <v>81</v>
      </c>
      <c r="AE184" s="1">
        <v>3</v>
      </c>
    </row>
    <row r="185" spans="1:31" x14ac:dyDescent="0.25">
      <c r="A185" s="1">
        <v>1</v>
      </c>
      <c r="B185" s="4">
        <v>44561</v>
      </c>
      <c r="C185" s="1" t="s">
        <v>79</v>
      </c>
      <c r="D185" s="1">
        <v>322</v>
      </c>
      <c r="E185" s="1">
        <v>322</v>
      </c>
      <c r="F185">
        <v>0.99689440993788825</v>
      </c>
      <c r="G185" s="1">
        <v>3.1055900621118002E-3</v>
      </c>
      <c r="H185" s="1">
        <v>8.6304347826086953</v>
      </c>
      <c r="I185" s="1">
        <v>0.6149068322981367</v>
      </c>
      <c r="J185" s="1">
        <v>4</v>
      </c>
      <c r="K185" s="1">
        <v>1</v>
      </c>
      <c r="L185" s="1">
        <v>10</v>
      </c>
      <c r="M185" s="1">
        <v>5</v>
      </c>
      <c r="N185" s="1">
        <v>3</v>
      </c>
      <c r="O185" s="1">
        <v>135</v>
      </c>
      <c r="P185" s="1">
        <v>9</v>
      </c>
      <c r="Q185" s="1">
        <v>18</v>
      </c>
      <c r="R185" s="1">
        <v>13</v>
      </c>
      <c r="S185" s="1">
        <v>342</v>
      </c>
      <c r="T185" s="1">
        <v>355</v>
      </c>
      <c r="U185" s="1">
        <v>315</v>
      </c>
      <c r="V185" s="1">
        <v>351</v>
      </c>
      <c r="W185" s="1">
        <v>349.375</v>
      </c>
      <c r="X185" s="1">
        <v>-5.8479532163742597E-2</v>
      </c>
      <c r="Y185" s="1">
        <v>2.2222222222222102E-2</v>
      </c>
      <c r="Z185" s="1">
        <v>322</v>
      </c>
      <c r="AA185" s="1">
        <v>377</v>
      </c>
      <c r="AB185" s="1">
        <v>45</v>
      </c>
      <c r="AC185" s="1">
        <v>1404</v>
      </c>
      <c r="AD185" s="1" t="s">
        <v>81</v>
      </c>
      <c r="AE185" s="1">
        <v>4</v>
      </c>
    </row>
    <row r="186" spans="1:31" x14ac:dyDescent="0.25">
      <c r="A186" s="1">
        <v>1</v>
      </c>
      <c r="B186" s="4">
        <v>44651</v>
      </c>
      <c r="C186" s="1" t="s">
        <v>79</v>
      </c>
      <c r="D186" s="1">
        <v>377</v>
      </c>
      <c r="E186" s="1">
        <v>377</v>
      </c>
      <c r="F186">
        <v>0.99469496021220161</v>
      </c>
      <c r="G186" s="1">
        <v>2.6525198938992002E-3</v>
      </c>
      <c r="H186" s="1">
        <v>8.6737400530503983</v>
      </c>
      <c r="I186" s="1">
        <v>0.72148541114058351</v>
      </c>
      <c r="J186" s="1">
        <v>9</v>
      </c>
      <c r="K186" s="1">
        <v>0</v>
      </c>
      <c r="L186" s="1">
        <v>13</v>
      </c>
      <c r="M186" s="1">
        <v>6</v>
      </c>
      <c r="N186" s="1">
        <v>6</v>
      </c>
      <c r="O186" s="1">
        <v>183</v>
      </c>
      <c r="P186" s="1">
        <v>19</v>
      </c>
      <c r="Q186" s="1">
        <v>17</v>
      </c>
      <c r="R186" s="1">
        <v>19</v>
      </c>
      <c r="S186" s="1">
        <v>322</v>
      </c>
      <c r="T186" s="1">
        <v>342</v>
      </c>
      <c r="U186" s="1">
        <v>385</v>
      </c>
      <c r="V186" s="1">
        <v>349</v>
      </c>
      <c r="W186" s="1">
        <v>353.375</v>
      </c>
      <c r="X186" s="1">
        <v>0.170807453416149</v>
      </c>
      <c r="Y186" s="1">
        <v>-2.0779220779220699E-2</v>
      </c>
      <c r="Z186" s="1">
        <v>377</v>
      </c>
      <c r="AA186" s="1">
        <v>386</v>
      </c>
      <c r="AB186" s="1">
        <v>46</v>
      </c>
      <c r="AC186" s="1">
        <v>1418</v>
      </c>
      <c r="AD186" s="1" t="s">
        <v>82</v>
      </c>
      <c r="AE186" s="1">
        <v>1</v>
      </c>
    </row>
    <row r="187" spans="1:31" x14ac:dyDescent="0.25">
      <c r="A187" s="1">
        <v>1</v>
      </c>
      <c r="B187" s="4">
        <v>44742</v>
      </c>
      <c r="C187" s="1" t="s">
        <v>79</v>
      </c>
      <c r="D187" s="1">
        <v>386</v>
      </c>
      <c r="E187" s="1">
        <v>386</v>
      </c>
      <c r="F187">
        <v>0.99740932642487035</v>
      </c>
      <c r="G187" s="1">
        <v>2.5906735751294999E-3</v>
      </c>
      <c r="H187" s="1">
        <v>8.9896373056994818</v>
      </c>
      <c r="I187" s="1">
        <v>0.70207253886010368</v>
      </c>
      <c r="J187" s="1">
        <v>8</v>
      </c>
      <c r="K187" s="1">
        <v>1</v>
      </c>
      <c r="L187" s="1">
        <v>13</v>
      </c>
      <c r="M187" s="1">
        <v>9</v>
      </c>
      <c r="N187" s="1">
        <v>1</v>
      </c>
      <c r="O187" s="1">
        <v>180</v>
      </c>
      <c r="P187" s="1">
        <v>10</v>
      </c>
      <c r="Q187" s="1">
        <v>20</v>
      </c>
      <c r="R187" s="1">
        <v>29</v>
      </c>
      <c r="S187" s="1">
        <v>377</v>
      </c>
      <c r="T187" s="1">
        <v>322</v>
      </c>
      <c r="U187" s="1">
        <v>355</v>
      </c>
      <c r="V187" s="1">
        <v>356.75</v>
      </c>
      <c r="W187" s="1">
        <v>356.25</v>
      </c>
      <c r="X187" s="1">
        <v>2.3872679045092899E-2</v>
      </c>
      <c r="Y187" s="1">
        <v>8.7323943661971895E-2</v>
      </c>
      <c r="Z187" s="1">
        <v>386</v>
      </c>
      <c r="AA187" s="1">
        <v>363</v>
      </c>
      <c r="AB187" s="1">
        <v>46</v>
      </c>
      <c r="AC187" s="1">
        <v>1418</v>
      </c>
      <c r="AD187" s="1" t="s">
        <v>82</v>
      </c>
      <c r="AE187" s="1">
        <v>2</v>
      </c>
    </row>
    <row r="188" spans="1:31" x14ac:dyDescent="0.25">
      <c r="A188" s="1">
        <v>1</v>
      </c>
      <c r="B188" s="4">
        <v>44834</v>
      </c>
      <c r="C188" s="1" t="s">
        <v>79</v>
      </c>
      <c r="D188" s="1">
        <v>363</v>
      </c>
      <c r="E188" s="1">
        <v>363</v>
      </c>
      <c r="F188">
        <v>1</v>
      </c>
      <c r="G188" s="1">
        <v>0</v>
      </c>
      <c r="H188" s="1">
        <v>8.8705234159779618</v>
      </c>
      <c r="I188" s="1">
        <v>0.69972451790633605</v>
      </c>
      <c r="J188" s="1">
        <v>16</v>
      </c>
      <c r="K188" s="1">
        <v>1</v>
      </c>
      <c r="L188" s="1">
        <v>12</v>
      </c>
      <c r="M188" s="1">
        <v>10</v>
      </c>
      <c r="N188" s="1">
        <v>5</v>
      </c>
      <c r="O188" s="1">
        <v>152</v>
      </c>
      <c r="P188" s="1">
        <v>15</v>
      </c>
      <c r="Q188" s="1">
        <v>21</v>
      </c>
      <c r="R188" s="1">
        <v>22</v>
      </c>
      <c r="S188" s="1">
        <v>386</v>
      </c>
      <c r="T188" s="1">
        <v>377</v>
      </c>
      <c r="U188" s="1">
        <v>342</v>
      </c>
      <c r="V188" s="1">
        <v>362</v>
      </c>
      <c r="W188" s="1">
        <v>355.625</v>
      </c>
      <c r="X188" s="1">
        <v>-5.9585492227979202E-2</v>
      </c>
      <c r="Y188" s="1">
        <v>6.1403508771929703E-2</v>
      </c>
      <c r="Z188" s="1">
        <v>363</v>
      </c>
      <c r="AA188" s="1">
        <v>292</v>
      </c>
      <c r="AB188" s="1">
        <v>46</v>
      </c>
      <c r="AC188" s="1">
        <v>1418</v>
      </c>
      <c r="AD188" s="1" t="s">
        <v>82</v>
      </c>
      <c r="AE188" s="1">
        <v>3</v>
      </c>
    </row>
    <row r="189" spans="1:31" x14ac:dyDescent="0.25">
      <c r="A189" s="1">
        <v>1</v>
      </c>
      <c r="B189" s="4">
        <v>44926</v>
      </c>
      <c r="C189" s="1" t="s">
        <v>79</v>
      </c>
      <c r="D189" s="1">
        <v>292</v>
      </c>
      <c r="E189" s="1">
        <v>292</v>
      </c>
      <c r="F189">
        <v>0.99657534246575341</v>
      </c>
      <c r="G189" s="1">
        <v>0</v>
      </c>
      <c r="H189" s="1">
        <v>9.0821917808219155</v>
      </c>
      <c r="I189" s="1">
        <v>0.62328767123287676</v>
      </c>
      <c r="J189" s="1">
        <v>14</v>
      </c>
      <c r="K189" s="1">
        <v>3</v>
      </c>
      <c r="L189" s="1">
        <v>4</v>
      </c>
      <c r="M189" s="1">
        <v>2</v>
      </c>
      <c r="N189" s="1">
        <v>3</v>
      </c>
      <c r="O189" s="1">
        <v>120</v>
      </c>
      <c r="P189" s="1">
        <v>9</v>
      </c>
      <c r="Q189" s="1">
        <v>11</v>
      </c>
      <c r="R189" s="1">
        <v>16</v>
      </c>
      <c r="S189" s="1">
        <v>363</v>
      </c>
      <c r="T189" s="1">
        <v>386</v>
      </c>
      <c r="U189" s="1">
        <v>322</v>
      </c>
      <c r="V189" s="1">
        <v>354.5</v>
      </c>
      <c r="W189" s="1">
        <v>352.75</v>
      </c>
      <c r="X189" s="1">
        <v>-0.19559228650137739</v>
      </c>
      <c r="Y189" s="1">
        <v>-9.3167701863353894E-2</v>
      </c>
      <c r="Z189" s="1">
        <v>292</v>
      </c>
      <c r="AA189" s="1">
        <v>283</v>
      </c>
      <c r="AB189" s="1">
        <v>46</v>
      </c>
      <c r="AC189" s="1">
        <v>1418</v>
      </c>
      <c r="AD189" s="1" t="s">
        <v>82</v>
      </c>
      <c r="AE189" s="1">
        <v>4</v>
      </c>
    </row>
    <row r="190" spans="1:31" x14ac:dyDescent="0.25">
      <c r="A190" s="1">
        <v>1</v>
      </c>
      <c r="B190" s="4">
        <v>45016</v>
      </c>
      <c r="C190" s="1" t="s">
        <v>79</v>
      </c>
      <c r="D190" s="1">
        <v>283</v>
      </c>
      <c r="E190" s="1">
        <v>283</v>
      </c>
      <c r="F190">
        <v>0.99293286219081278</v>
      </c>
      <c r="G190" s="1">
        <v>0</v>
      </c>
      <c r="H190" s="1">
        <v>8.8869257950530027</v>
      </c>
      <c r="I190" s="1">
        <v>0.67491166077738518</v>
      </c>
      <c r="J190" s="1">
        <v>6</v>
      </c>
      <c r="K190" s="1">
        <v>6</v>
      </c>
      <c r="L190" s="1">
        <v>7</v>
      </c>
      <c r="M190" s="1">
        <v>5</v>
      </c>
      <c r="N190" s="1">
        <v>3</v>
      </c>
      <c r="O190" s="1">
        <v>129</v>
      </c>
      <c r="P190" s="1">
        <v>8</v>
      </c>
      <c r="Q190" s="1">
        <v>13</v>
      </c>
      <c r="R190" s="1">
        <v>14</v>
      </c>
      <c r="S190" s="1">
        <v>292</v>
      </c>
      <c r="T190" s="1">
        <v>363</v>
      </c>
      <c r="U190" s="1">
        <v>377</v>
      </c>
      <c r="V190" s="1">
        <v>331</v>
      </c>
      <c r="W190" s="1">
        <v>340</v>
      </c>
      <c r="X190" s="1">
        <v>-3.08219178082191E-2</v>
      </c>
      <c r="Y190" s="1">
        <v>-0.2493368700265251</v>
      </c>
      <c r="Z190" s="1">
        <v>283</v>
      </c>
      <c r="AA190" s="1">
        <v>267</v>
      </c>
      <c r="AB190" s="1">
        <v>47</v>
      </c>
      <c r="AC190" s="1">
        <v>1208</v>
      </c>
      <c r="AD190" s="1" t="s">
        <v>83</v>
      </c>
      <c r="AE190" s="1">
        <v>1</v>
      </c>
    </row>
    <row r="191" spans="1:31" x14ac:dyDescent="0.25">
      <c r="A191" s="1">
        <v>1</v>
      </c>
      <c r="B191" s="4">
        <v>45107</v>
      </c>
      <c r="C191" s="1" t="s">
        <v>79</v>
      </c>
      <c r="D191" s="1">
        <v>267</v>
      </c>
      <c r="E191" s="1">
        <v>267</v>
      </c>
      <c r="F191">
        <v>1</v>
      </c>
      <c r="G191" s="1">
        <v>0</v>
      </c>
      <c r="H191" s="1">
        <v>8.8726591760299627</v>
      </c>
      <c r="I191" s="1">
        <v>0.77153558052434457</v>
      </c>
      <c r="J191" s="1">
        <v>10</v>
      </c>
      <c r="K191" s="1">
        <v>2</v>
      </c>
      <c r="L191" s="1">
        <v>12</v>
      </c>
      <c r="M191" s="1">
        <v>6</v>
      </c>
      <c r="N191" s="1">
        <v>2</v>
      </c>
      <c r="O191" s="1">
        <v>132</v>
      </c>
      <c r="P191" s="1">
        <v>9</v>
      </c>
      <c r="Q191" s="1">
        <v>10</v>
      </c>
      <c r="R191" s="1">
        <v>23</v>
      </c>
      <c r="S191" s="1">
        <v>283</v>
      </c>
      <c r="T191" s="1">
        <v>292</v>
      </c>
      <c r="U191" s="1">
        <v>386</v>
      </c>
      <c r="V191" s="1">
        <v>301.25</v>
      </c>
      <c r="W191" s="1">
        <v>329</v>
      </c>
      <c r="X191" s="1">
        <v>-5.6537102473498101E-2</v>
      </c>
      <c r="Y191" s="1">
        <v>-0.30829015544041449</v>
      </c>
      <c r="Z191" s="1">
        <v>267</v>
      </c>
      <c r="AA191" s="1">
        <v>306</v>
      </c>
      <c r="AB191" s="1">
        <v>47</v>
      </c>
      <c r="AC191" s="1">
        <v>1208</v>
      </c>
      <c r="AD191" s="1" t="s">
        <v>83</v>
      </c>
      <c r="AE191" s="1">
        <v>2</v>
      </c>
    </row>
    <row r="192" spans="1:31" x14ac:dyDescent="0.25">
      <c r="A192" s="1">
        <v>1</v>
      </c>
      <c r="B192" s="4">
        <v>45199</v>
      </c>
      <c r="C192" s="1" t="s">
        <v>79</v>
      </c>
      <c r="D192" s="1">
        <v>306</v>
      </c>
      <c r="E192" s="1">
        <v>306</v>
      </c>
      <c r="F192">
        <v>0.99673202614379075</v>
      </c>
      <c r="G192" s="1">
        <v>0</v>
      </c>
      <c r="H192" s="1">
        <v>8.6470588235294112</v>
      </c>
      <c r="I192" s="1">
        <v>0.64052287581699341</v>
      </c>
      <c r="J192" s="1">
        <v>9</v>
      </c>
      <c r="K192" s="1">
        <v>2</v>
      </c>
      <c r="L192" s="1">
        <v>10</v>
      </c>
      <c r="M192" s="1">
        <v>4</v>
      </c>
      <c r="N192" s="1">
        <v>2</v>
      </c>
      <c r="O192" s="1">
        <v>133</v>
      </c>
      <c r="P192" s="1">
        <v>11</v>
      </c>
      <c r="Q192" s="1">
        <v>14</v>
      </c>
      <c r="R192" s="1">
        <v>11</v>
      </c>
      <c r="S192" s="1">
        <v>267</v>
      </c>
      <c r="T192" s="1">
        <v>283</v>
      </c>
      <c r="U192" s="1">
        <v>363</v>
      </c>
      <c r="V192" s="1">
        <v>287</v>
      </c>
      <c r="W192" s="1">
        <v>324.5</v>
      </c>
      <c r="X192" s="1">
        <v>0.14606741573033699</v>
      </c>
      <c r="Y192" s="1">
        <v>-0.1570247933884297</v>
      </c>
      <c r="Z192" s="1">
        <v>306</v>
      </c>
      <c r="AA192" s="1">
        <v>352</v>
      </c>
      <c r="AB192" s="1">
        <v>47</v>
      </c>
      <c r="AC192" s="1">
        <v>1208</v>
      </c>
      <c r="AD192" s="1" t="s">
        <v>83</v>
      </c>
      <c r="AE192" s="1">
        <v>3</v>
      </c>
    </row>
    <row r="193" spans="1:31" x14ac:dyDescent="0.25">
      <c r="A193" s="1">
        <v>1</v>
      </c>
      <c r="B193" s="4">
        <v>45291</v>
      </c>
      <c r="C193" s="1" t="s">
        <v>79</v>
      </c>
      <c r="D193" s="1">
        <v>352</v>
      </c>
      <c r="E193" s="1">
        <v>352</v>
      </c>
      <c r="F193">
        <v>0.99715909090909083</v>
      </c>
      <c r="G193" s="1">
        <v>0</v>
      </c>
      <c r="H193" s="1">
        <v>8.673295454545455</v>
      </c>
      <c r="I193" s="1">
        <v>0.67045454545454541</v>
      </c>
      <c r="J193" s="1">
        <v>14</v>
      </c>
      <c r="K193" s="1">
        <v>2</v>
      </c>
      <c r="L193" s="1">
        <v>5</v>
      </c>
      <c r="M193" s="1">
        <v>8</v>
      </c>
      <c r="N193" s="1">
        <v>3</v>
      </c>
      <c r="O193" s="1">
        <v>155</v>
      </c>
      <c r="P193" s="1">
        <v>9</v>
      </c>
      <c r="Q193" s="1">
        <v>17</v>
      </c>
      <c r="R193" s="1">
        <v>23</v>
      </c>
      <c r="S193" s="1">
        <v>306</v>
      </c>
      <c r="T193" s="1">
        <v>267</v>
      </c>
      <c r="U193" s="1">
        <v>292</v>
      </c>
      <c r="V193" s="1">
        <v>302</v>
      </c>
      <c r="W193" s="1">
        <v>328.25</v>
      </c>
      <c r="X193" s="1">
        <v>0.1503267973856208</v>
      </c>
      <c r="Y193" s="1">
        <v>0.2054794520547944</v>
      </c>
      <c r="Z193" s="1">
        <v>352</v>
      </c>
      <c r="AA193" s="1">
        <v>383</v>
      </c>
      <c r="AB193" s="1">
        <v>47</v>
      </c>
      <c r="AC193" s="1">
        <v>1208</v>
      </c>
      <c r="AD193" s="1" t="s">
        <v>83</v>
      </c>
      <c r="AE193" s="1">
        <v>4</v>
      </c>
    </row>
    <row r="194" spans="1:31" x14ac:dyDescent="0.25">
      <c r="A194" s="1">
        <v>1</v>
      </c>
      <c r="B194" s="4">
        <v>45382</v>
      </c>
      <c r="C194" s="1" t="s">
        <v>79</v>
      </c>
      <c r="D194" s="1">
        <v>383</v>
      </c>
      <c r="E194" s="1">
        <v>383</v>
      </c>
      <c r="F194">
        <v>0.99477806788511758</v>
      </c>
      <c r="G194" s="1">
        <v>0</v>
      </c>
      <c r="H194" s="1">
        <v>8.3759791122715406</v>
      </c>
      <c r="I194" s="1">
        <v>0.65274151436031336</v>
      </c>
      <c r="J194" s="1">
        <v>11</v>
      </c>
      <c r="K194" s="1">
        <v>6</v>
      </c>
      <c r="L194" s="1">
        <v>11</v>
      </c>
      <c r="M194" s="1">
        <v>10</v>
      </c>
      <c r="N194" s="1">
        <v>2</v>
      </c>
      <c r="O194" s="1">
        <v>156</v>
      </c>
      <c r="P194" s="1">
        <v>9</v>
      </c>
      <c r="Q194" s="1">
        <v>24</v>
      </c>
      <c r="R194" s="1">
        <v>21</v>
      </c>
      <c r="S194" s="1">
        <v>352</v>
      </c>
      <c r="T194" s="1">
        <v>306</v>
      </c>
      <c r="U194" s="1">
        <v>283</v>
      </c>
      <c r="V194" s="1">
        <v>327</v>
      </c>
      <c r="W194" s="1">
        <v>329</v>
      </c>
      <c r="X194" s="1">
        <v>8.8068181818181795E-2</v>
      </c>
      <c r="Y194" s="1">
        <v>0.35335689045936403</v>
      </c>
      <c r="Z194" s="1">
        <v>383</v>
      </c>
      <c r="AA194" s="1">
        <v>383</v>
      </c>
      <c r="AB194" s="1">
        <v>48</v>
      </c>
      <c r="AC194" s="1">
        <v>1549</v>
      </c>
      <c r="AD194" s="1" t="s">
        <v>84</v>
      </c>
      <c r="AE194" s="1">
        <v>1</v>
      </c>
    </row>
    <row r="195" spans="1:31" x14ac:dyDescent="0.25">
      <c r="A195" s="1">
        <v>1</v>
      </c>
      <c r="B195" s="4">
        <v>45473</v>
      </c>
      <c r="C195" s="1" t="s">
        <v>79</v>
      </c>
      <c r="D195" s="1">
        <v>383</v>
      </c>
      <c r="E195" s="1">
        <v>383</v>
      </c>
      <c r="F195">
        <v>0.99477806788511758</v>
      </c>
      <c r="G195" s="1">
        <v>2.6109660574412E-3</v>
      </c>
      <c r="H195" s="1">
        <v>8.7624020887728467</v>
      </c>
      <c r="I195" s="1">
        <v>0.65535248041775462</v>
      </c>
      <c r="J195" s="1">
        <v>12</v>
      </c>
      <c r="K195" s="1">
        <v>3</v>
      </c>
      <c r="L195" s="1">
        <v>14</v>
      </c>
      <c r="M195" s="1">
        <v>7</v>
      </c>
      <c r="N195" s="1">
        <v>5</v>
      </c>
      <c r="O195" s="1">
        <v>159</v>
      </c>
      <c r="P195" s="1">
        <v>10</v>
      </c>
      <c r="Q195" s="1">
        <v>17</v>
      </c>
      <c r="R195" s="1">
        <v>24</v>
      </c>
      <c r="S195" s="1">
        <v>383</v>
      </c>
      <c r="T195" s="1">
        <v>352</v>
      </c>
      <c r="U195" s="1">
        <v>267</v>
      </c>
      <c r="V195" s="1">
        <v>356</v>
      </c>
      <c r="W195" s="1">
        <v>328.625</v>
      </c>
      <c r="X195" s="1">
        <v>0</v>
      </c>
      <c r="Y195" s="1">
        <v>0.43445692883895121</v>
      </c>
      <c r="Z195" s="1">
        <v>383</v>
      </c>
      <c r="AA195" s="1">
        <v>373</v>
      </c>
      <c r="AB195" s="1">
        <v>48</v>
      </c>
      <c r="AC195" s="1">
        <v>1549</v>
      </c>
      <c r="AD195" s="1" t="s">
        <v>84</v>
      </c>
      <c r="AE195" s="1">
        <v>2</v>
      </c>
    </row>
    <row r="196" spans="1:31" x14ac:dyDescent="0.25">
      <c r="A196" s="1">
        <v>1</v>
      </c>
      <c r="B196" s="4">
        <v>45565</v>
      </c>
      <c r="C196" s="1" t="s">
        <v>79</v>
      </c>
      <c r="D196" s="1">
        <v>373</v>
      </c>
      <c r="E196" s="1">
        <v>373</v>
      </c>
      <c r="F196">
        <v>0.99463806970509383</v>
      </c>
      <c r="G196" s="1">
        <v>0</v>
      </c>
      <c r="H196" s="1">
        <v>8.8042895442359246</v>
      </c>
      <c r="I196" s="1">
        <v>0.71581769436997322</v>
      </c>
      <c r="J196" s="1">
        <v>13</v>
      </c>
      <c r="K196" s="1">
        <v>3</v>
      </c>
      <c r="L196" s="1">
        <v>10</v>
      </c>
      <c r="M196" s="1">
        <v>3</v>
      </c>
      <c r="N196" s="1">
        <v>5</v>
      </c>
      <c r="O196" s="1">
        <v>168</v>
      </c>
      <c r="P196" s="1">
        <v>9</v>
      </c>
      <c r="Q196" s="1">
        <v>21</v>
      </c>
      <c r="R196" s="1">
        <v>35</v>
      </c>
      <c r="S196" s="1">
        <v>383</v>
      </c>
      <c r="T196" s="1">
        <v>383</v>
      </c>
      <c r="U196" s="1">
        <v>306</v>
      </c>
      <c r="V196" s="1">
        <v>372.75</v>
      </c>
      <c r="W196" s="1">
        <v>329.875</v>
      </c>
      <c r="X196" s="1">
        <v>-2.61096605744125E-2</v>
      </c>
      <c r="Y196" s="1">
        <v>0.2189542483660131</v>
      </c>
      <c r="Z196" s="1">
        <v>373</v>
      </c>
      <c r="AA196" s="1">
        <v>410</v>
      </c>
      <c r="AB196" s="1">
        <v>48</v>
      </c>
      <c r="AC196" s="1">
        <v>1549</v>
      </c>
      <c r="AD196" s="1" t="s">
        <v>84</v>
      </c>
      <c r="AE196" s="1">
        <v>3</v>
      </c>
    </row>
    <row r="197" spans="1:31" x14ac:dyDescent="0.25">
      <c r="A197" s="1">
        <v>1</v>
      </c>
      <c r="B197" s="4">
        <v>45657</v>
      </c>
      <c r="C197" s="1" t="s">
        <v>79</v>
      </c>
      <c r="D197" s="1">
        <v>410</v>
      </c>
      <c r="E197" s="1">
        <v>410</v>
      </c>
      <c r="F197">
        <v>0.99756097560975598</v>
      </c>
      <c r="G197" s="1">
        <v>0</v>
      </c>
      <c r="H197" s="1">
        <v>8.3439024390243901</v>
      </c>
      <c r="I197" s="1">
        <v>0.65365853658536588</v>
      </c>
      <c r="J197" s="1">
        <v>15</v>
      </c>
      <c r="K197" s="1">
        <v>10</v>
      </c>
      <c r="L197" s="1">
        <v>10</v>
      </c>
      <c r="M197" s="1">
        <v>8</v>
      </c>
      <c r="N197" s="1">
        <v>1</v>
      </c>
      <c r="O197" s="1">
        <v>172</v>
      </c>
      <c r="P197" s="1">
        <v>11</v>
      </c>
      <c r="Q197" s="1">
        <v>17</v>
      </c>
      <c r="R197" s="1">
        <v>24</v>
      </c>
      <c r="S197" s="1">
        <v>373</v>
      </c>
      <c r="T197" s="1">
        <v>383</v>
      </c>
      <c r="U197" s="1">
        <v>352</v>
      </c>
      <c r="V197" s="1">
        <v>387.25</v>
      </c>
      <c r="W197" s="1">
        <v>344.625</v>
      </c>
      <c r="X197" s="1">
        <v>9.91957104557641E-2</v>
      </c>
      <c r="Y197" s="1">
        <v>0.16477272727272729</v>
      </c>
      <c r="Z197" s="1">
        <v>410</v>
      </c>
      <c r="AA197" s="1">
        <v>399</v>
      </c>
      <c r="AB197" s="1">
        <v>48</v>
      </c>
      <c r="AC197" s="1">
        <v>1549</v>
      </c>
      <c r="AD197" s="1" t="s">
        <v>84</v>
      </c>
      <c r="AE197" s="1">
        <v>4</v>
      </c>
    </row>
    <row r="198" spans="1:31" x14ac:dyDescent="0.25">
      <c r="A198" s="1">
        <v>1</v>
      </c>
      <c r="B198" s="4">
        <v>45747</v>
      </c>
      <c r="C198" s="1" t="s">
        <v>79</v>
      </c>
      <c r="D198" s="1">
        <v>399</v>
      </c>
      <c r="E198" s="1">
        <v>399</v>
      </c>
      <c r="F198">
        <v>0.9949874686716792</v>
      </c>
      <c r="G198" s="1">
        <v>0</v>
      </c>
      <c r="H198" s="1">
        <v>8.4210526315789469</v>
      </c>
      <c r="I198" s="1">
        <v>0.61403508771929827</v>
      </c>
      <c r="J198" s="1">
        <v>10</v>
      </c>
      <c r="K198" s="1">
        <v>7</v>
      </c>
      <c r="L198" s="1">
        <v>12</v>
      </c>
      <c r="M198" s="1">
        <v>6</v>
      </c>
      <c r="N198" s="1">
        <v>4</v>
      </c>
      <c r="O198" s="1">
        <v>158</v>
      </c>
      <c r="P198" s="1">
        <v>13</v>
      </c>
      <c r="Q198" s="1">
        <v>13</v>
      </c>
      <c r="R198" s="1">
        <v>22</v>
      </c>
      <c r="S198" s="1">
        <v>410</v>
      </c>
      <c r="T198" s="1">
        <v>373</v>
      </c>
      <c r="U198" s="1">
        <v>383</v>
      </c>
      <c r="V198" s="1">
        <v>391.25</v>
      </c>
      <c r="W198" s="1">
        <v>359.125</v>
      </c>
      <c r="X198" s="1">
        <v>-2.6829268292682899E-2</v>
      </c>
      <c r="Y198" s="1">
        <v>4.1775456919059997E-2</v>
      </c>
      <c r="Z198" s="1">
        <v>399</v>
      </c>
      <c r="AA198" s="1">
        <v>370</v>
      </c>
      <c r="AB198" s="1">
        <v>49</v>
      </c>
      <c r="AC198" s="1">
        <v>1177</v>
      </c>
      <c r="AD198" s="1" t="s">
        <v>85</v>
      </c>
      <c r="AE198" s="1">
        <v>1</v>
      </c>
    </row>
    <row r="199" spans="1:31" x14ac:dyDescent="0.25">
      <c r="A199" s="1">
        <v>1</v>
      </c>
      <c r="B199" s="4">
        <v>45838</v>
      </c>
      <c r="C199" s="1" t="s">
        <v>79</v>
      </c>
      <c r="D199" s="1">
        <v>370</v>
      </c>
      <c r="E199" s="1">
        <v>370</v>
      </c>
      <c r="F199">
        <v>0.99729729729729721</v>
      </c>
      <c r="G199" s="1">
        <v>0</v>
      </c>
      <c r="H199" s="1">
        <v>8.6945945945945944</v>
      </c>
      <c r="I199" s="1">
        <v>0.65405405405405403</v>
      </c>
      <c r="J199" s="1">
        <v>11</v>
      </c>
      <c r="K199" s="1">
        <v>3</v>
      </c>
      <c r="L199" s="1">
        <v>9</v>
      </c>
      <c r="M199" s="1">
        <v>12</v>
      </c>
      <c r="N199" s="1">
        <v>2</v>
      </c>
      <c r="O199" s="1">
        <v>152</v>
      </c>
      <c r="P199" s="1">
        <v>15</v>
      </c>
      <c r="Q199" s="1">
        <v>18</v>
      </c>
      <c r="R199" s="1">
        <v>20</v>
      </c>
      <c r="S199" s="1">
        <v>399</v>
      </c>
      <c r="T199" s="1">
        <v>410</v>
      </c>
      <c r="U199" s="1">
        <v>383</v>
      </c>
      <c r="V199" s="1">
        <v>388</v>
      </c>
      <c r="W199" s="1">
        <v>372</v>
      </c>
      <c r="X199" s="1">
        <v>-7.2681704260651597E-2</v>
      </c>
      <c r="Y199" s="1">
        <v>-3.3942558746736198E-2</v>
      </c>
      <c r="Z199" s="1">
        <v>370</v>
      </c>
      <c r="AA199" s="1">
        <v>408</v>
      </c>
      <c r="AB199" s="1">
        <v>49</v>
      </c>
      <c r="AC199" s="1">
        <v>1177</v>
      </c>
      <c r="AD199" s="1" t="s">
        <v>85</v>
      </c>
      <c r="AE199" s="1">
        <v>2</v>
      </c>
    </row>
    <row r="200" spans="1:31" x14ac:dyDescent="0.25">
      <c r="A200" s="1">
        <v>1</v>
      </c>
      <c r="B200" s="4">
        <v>45930</v>
      </c>
      <c r="C200" s="1" t="s">
        <v>79</v>
      </c>
      <c r="D200" s="1">
        <v>408</v>
      </c>
      <c r="E200" s="1">
        <v>408</v>
      </c>
      <c r="F200">
        <v>0.99264705882352944</v>
      </c>
      <c r="G200" s="1">
        <v>0</v>
      </c>
      <c r="H200" s="1">
        <v>8.7401960784313726</v>
      </c>
      <c r="I200" s="1">
        <v>0.70343137254901966</v>
      </c>
      <c r="J200" s="1">
        <v>9</v>
      </c>
      <c r="K200" s="1">
        <v>8</v>
      </c>
      <c r="L200" s="1">
        <v>14</v>
      </c>
      <c r="M200" s="1">
        <v>5</v>
      </c>
      <c r="N200" s="1">
        <v>5</v>
      </c>
      <c r="O200" s="1">
        <v>185</v>
      </c>
      <c r="P200" s="1">
        <v>14</v>
      </c>
      <c r="Q200" s="1">
        <v>21</v>
      </c>
      <c r="R200" s="1">
        <v>26</v>
      </c>
      <c r="S200" s="1">
        <v>370</v>
      </c>
      <c r="T200" s="1">
        <v>399</v>
      </c>
      <c r="U200" s="1">
        <v>373</v>
      </c>
      <c r="V200" s="1">
        <v>396.75</v>
      </c>
      <c r="W200" s="1">
        <v>384.75</v>
      </c>
      <c r="X200" s="1">
        <v>0.10270270270270269</v>
      </c>
      <c r="Y200" s="1">
        <v>9.3833780160857902E-2</v>
      </c>
      <c r="Z200" s="1">
        <v>408</v>
      </c>
      <c r="AA200" s="1"/>
      <c r="AB200" s="1">
        <v>49</v>
      </c>
      <c r="AC200" s="1">
        <v>1177</v>
      </c>
      <c r="AD200" s="1" t="s">
        <v>85</v>
      </c>
      <c r="AE200" s="1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C6CC-F764-487B-B8FE-7C50A28AD792}">
  <dimension ref="A3:B9"/>
  <sheetViews>
    <sheetView workbookViewId="0">
      <selection activeCell="F21" sqref="F21"/>
    </sheetView>
  </sheetViews>
  <sheetFormatPr baseColWidth="10" defaultRowHeight="15" x14ac:dyDescent="0.25"/>
  <cols>
    <col min="1" max="1" width="17.7109375" bestFit="1" customWidth="1"/>
    <col min="2" max="2" width="6" bestFit="1" customWidth="1"/>
  </cols>
  <sheetData>
    <row r="3" spans="1:2" x14ac:dyDescent="0.25">
      <c r="A3" s="2" t="s">
        <v>87</v>
      </c>
      <c r="B3" t="s">
        <v>89</v>
      </c>
    </row>
    <row r="4" spans="1:2" x14ac:dyDescent="0.25">
      <c r="A4" s="3" t="s">
        <v>46</v>
      </c>
      <c r="B4" s="1">
        <v>1954</v>
      </c>
    </row>
    <row r="5" spans="1:2" x14ac:dyDescent="0.25">
      <c r="A5" s="3" t="s">
        <v>31</v>
      </c>
      <c r="B5" s="1">
        <v>436</v>
      </c>
    </row>
    <row r="6" spans="1:2" x14ac:dyDescent="0.25">
      <c r="A6" s="3" t="s">
        <v>57</v>
      </c>
      <c r="B6" s="1">
        <v>5740</v>
      </c>
    </row>
    <row r="7" spans="1:2" x14ac:dyDescent="0.25">
      <c r="A7" s="3" t="s">
        <v>79</v>
      </c>
      <c r="B7" s="1">
        <v>8147</v>
      </c>
    </row>
    <row r="8" spans="1:2" x14ac:dyDescent="0.25">
      <c r="A8" s="3" t="s">
        <v>68</v>
      </c>
      <c r="B8" s="1">
        <v>13841</v>
      </c>
    </row>
    <row r="9" spans="1:2" x14ac:dyDescent="0.25">
      <c r="A9" s="3" t="s">
        <v>86</v>
      </c>
      <c r="B9" s="1">
        <v>30118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96532C-34BE-4AEB-BABD-790FC4E796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Promedio de keyword_score por e</vt:lpstr>
      <vt:lpstr>quarterly_level_clean</vt:lpstr>
      <vt:lpstr>Suma de Patentes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FRANCESCO ALONSO SALAZAR FRANCO</dc:creator>
  <cp:lastModifiedBy>ALUMNO - FRANCESCO ALONSO SALAZAR FRANCO</cp:lastModifiedBy>
  <dcterms:created xsi:type="dcterms:W3CDTF">2026-09-24T02:18:22Z</dcterms:created>
  <dcterms:modified xsi:type="dcterms:W3CDTF">2026-09-24T04:03:54Z</dcterms:modified>
</cp:coreProperties>
</file>